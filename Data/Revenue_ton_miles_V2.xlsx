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hidePivotFieldList="1"/>
  <mc:AlternateContent xmlns:mc="http://schemas.openxmlformats.org/markup-compatibility/2006">
    <mc:Choice Requires="x15">
      <x15ac:absPath xmlns:x15ac="http://schemas.microsoft.com/office/spreadsheetml/2010/11/ac" url="\\Mtl-hq-f07\HQ10AW2\planning\Reports\AAR\WebSummary\"/>
    </mc:Choice>
  </mc:AlternateContent>
  <xr:revisionPtr revIDLastSave="0" documentId="13_ncr:1_{636F2B46-A455-45F1-A460-A5EC477D105D}" xr6:coauthVersionLast="47" xr6:coauthVersionMax="47" xr10:uidLastSave="{00000000-0000-0000-0000-000000000000}"/>
  <bookViews>
    <workbookView xWindow="-120" yWindow="-120" windowWidth="29040" windowHeight="15720" tabRatio="911" activeTab="2" xr2:uid="{00000000-000D-0000-FFFF-FFFF00000000}"/>
  </bookViews>
  <sheets>
    <sheet name="Groupe de produits AAR - Fr" sheetId="61" r:id="rId1"/>
    <sheet name="AAR Commodity Grouping - En" sheetId="16" r:id="rId2"/>
    <sheet name="Summary" sheetId="78" r:id="rId3"/>
    <sheet name="AAR 2026" sheetId="82" r:id="rId4"/>
    <sheet name="AAR 2025" sheetId="81" r:id="rId5"/>
    <sheet name="AAR 2024" sheetId="30" r:id="rId6"/>
    <sheet name="AAR 2023" sheetId="63" r:id="rId7"/>
    <sheet name="AAR 2022" sheetId="60" r:id="rId8"/>
    <sheet name="AAR 2021" sheetId="59" r:id="rId9"/>
    <sheet name="AAR 2020" sheetId="58" r:id="rId10"/>
    <sheet name="AAR 2019" sheetId="57" r:id="rId11"/>
    <sheet name="AAR 2018" sheetId="54" r:id="rId12"/>
    <sheet name="AAR 2017" sheetId="53" r:id="rId13"/>
    <sheet name="AAR 2016" sheetId="49" r:id="rId14"/>
    <sheet name="BU 2026" sheetId="83" r:id="rId15"/>
    <sheet name="BU 2025" sheetId="79" r:id="rId16"/>
    <sheet name="BU 2024" sheetId="73" r:id="rId17"/>
    <sheet name="BU 2023" sheetId="72" r:id="rId18"/>
    <sheet name="BU 2022" sheetId="71" r:id="rId19"/>
    <sheet name="BU 2021" sheetId="70" r:id="rId20"/>
    <sheet name="BU 2020" sheetId="69" r:id="rId21"/>
    <sheet name="BU 2019" sheetId="68" r:id="rId22"/>
    <sheet name="BU 2018" sheetId="67" r:id="rId23"/>
    <sheet name="BU 2017" sheetId="66" r:id="rId24"/>
    <sheet name="BU 2016" sheetId="65" r:id="rId25"/>
  </sheets>
  <externalReferences>
    <externalReference r:id="rId26"/>
  </externalReferences>
  <definedNames>
    <definedName name="Crystal_1_1_WEBI_DataGrid" localSheetId="13" hidden="1">#REF!</definedName>
    <definedName name="Crystal_1_1_WEBI_DataGrid" localSheetId="11" hidden="1">#REF!</definedName>
    <definedName name="Crystal_1_1_WEBI_DataGrid" localSheetId="24" hidden="1">#REF!</definedName>
    <definedName name="Crystal_1_1_WEBI_DataGrid" localSheetId="19" hidden="1">#REF!</definedName>
    <definedName name="Crystal_1_1_WEBI_DataGrid" localSheetId="18" hidden="1">#REF!</definedName>
    <definedName name="Crystal_1_1_WEBI_DataGrid" localSheetId="17" hidden="1">#REF!</definedName>
    <definedName name="Crystal_1_1_WEBI_DataGrid" localSheetId="16" hidden="1">#REF!</definedName>
    <definedName name="Crystal_1_1_WEBI_DataGrid" hidden="1">#REF!</definedName>
    <definedName name="Crystal_1_1_WEBI_HHeading" localSheetId="13" hidden="1">#REF!</definedName>
    <definedName name="Crystal_1_1_WEBI_HHeading" localSheetId="11" hidden="1">#REF!</definedName>
    <definedName name="Crystal_1_1_WEBI_HHeading" localSheetId="19" hidden="1">#REF!</definedName>
    <definedName name="Crystal_1_1_WEBI_HHeading" localSheetId="18" hidden="1">#REF!</definedName>
    <definedName name="Crystal_1_1_WEBI_HHeading" localSheetId="17" hidden="1">#REF!</definedName>
    <definedName name="Crystal_1_1_WEBI_HHeading" localSheetId="16" hidden="1">#REF!</definedName>
    <definedName name="Crystal_1_1_WEBI_HHeading" hidden="1">#REF!</definedName>
    <definedName name="Crystal_1_1_WEBI_ReportCrossTab" localSheetId="13" hidden="1">#REF!</definedName>
    <definedName name="Crystal_1_1_WEBI_ReportCrossTab" localSheetId="11" hidden="1">#REF!</definedName>
    <definedName name="Crystal_1_1_WEBI_ReportCrossTab" localSheetId="19" hidden="1">#REF!</definedName>
    <definedName name="Crystal_1_1_WEBI_ReportCrossTab" localSheetId="18" hidden="1">#REF!</definedName>
    <definedName name="Crystal_1_1_WEBI_ReportCrossTab" localSheetId="17" hidden="1">#REF!</definedName>
    <definedName name="Crystal_1_1_WEBI_ReportCrossTab" localSheetId="16" hidden="1">#REF!</definedName>
    <definedName name="Crystal_1_1_WEBI_ReportCrossTab" hidden="1">#REF!</definedName>
    <definedName name="Crystal_1_1_WEBI_Space" localSheetId="13" hidden="1">#REF!</definedName>
    <definedName name="Crystal_1_1_WEBI_Space" localSheetId="11" hidden="1">#REF!</definedName>
    <definedName name="Crystal_1_1_WEBI_Space" localSheetId="19" hidden="1">#REF!</definedName>
    <definedName name="Crystal_1_1_WEBI_Space" localSheetId="18" hidden="1">#REF!</definedName>
    <definedName name="Crystal_1_1_WEBI_Space" localSheetId="17" hidden="1">#REF!</definedName>
    <definedName name="Crystal_1_1_WEBI_Space" localSheetId="16" hidden="1">#REF!</definedName>
    <definedName name="Crystal_1_1_WEBI_Space" hidden="1">#REF!</definedName>
    <definedName name="Crystal_1_1_WEBI_VHeading" localSheetId="13" hidden="1">#REF!</definedName>
    <definedName name="Crystal_1_1_WEBI_VHeading" localSheetId="11" hidden="1">#REF!</definedName>
    <definedName name="Crystal_1_1_WEBI_VHeading" localSheetId="19" hidden="1">#REF!</definedName>
    <definedName name="Crystal_1_1_WEBI_VHeading" localSheetId="18" hidden="1">#REF!</definedName>
    <definedName name="Crystal_1_1_WEBI_VHeading" localSheetId="17" hidden="1">#REF!</definedName>
    <definedName name="Crystal_1_1_WEBI_VHeading" localSheetId="16" hidden="1">#REF!</definedName>
    <definedName name="Crystal_1_1_WEBI_VHeading" hidden="1">#REF!</definedName>
    <definedName name="Crystal_2_1_WEBI_DataGrid" localSheetId="13" hidden="1">#REF!</definedName>
    <definedName name="Crystal_2_1_WEBI_DataGrid" localSheetId="11" hidden="1">#REF!</definedName>
    <definedName name="Crystal_2_1_WEBI_DataGrid" localSheetId="19" hidden="1">#REF!</definedName>
    <definedName name="Crystal_2_1_WEBI_DataGrid" localSheetId="18" hidden="1">#REF!</definedName>
    <definedName name="Crystal_2_1_WEBI_DataGrid" localSheetId="17" hidden="1">#REF!</definedName>
    <definedName name="Crystal_2_1_WEBI_DataGrid" localSheetId="16" hidden="1">#REF!</definedName>
    <definedName name="Crystal_2_1_WEBI_DataGrid" hidden="1">#REF!</definedName>
    <definedName name="Crystal_2_1_WEBI_HHeading" localSheetId="13" hidden="1">#REF!</definedName>
    <definedName name="Crystal_2_1_WEBI_HHeading" localSheetId="11" hidden="1">#REF!</definedName>
    <definedName name="Crystal_2_1_WEBI_HHeading" localSheetId="19" hidden="1">#REF!</definedName>
    <definedName name="Crystal_2_1_WEBI_HHeading" localSheetId="18" hidden="1">#REF!</definedName>
    <definedName name="Crystal_2_1_WEBI_HHeading" localSheetId="17" hidden="1">#REF!</definedName>
    <definedName name="Crystal_2_1_WEBI_HHeading" localSheetId="16" hidden="1">#REF!</definedName>
    <definedName name="Crystal_2_1_WEBI_HHeading" hidden="1">#REF!</definedName>
    <definedName name="Crystal_2_1_WEBI_ReportCrossTab" localSheetId="13" hidden="1">#REF!</definedName>
    <definedName name="Crystal_2_1_WEBI_ReportCrossTab" localSheetId="11" hidden="1">#REF!</definedName>
    <definedName name="Crystal_2_1_WEBI_ReportCrossTab" localSheetId="19" hidden="1">#REF!</definedName>
    <definedName name="Crystal_2_1_WEBI_ReportCrossTab" localSheetId="18" hidden="1">#REF!</definedName>
    <definedName name="Crystal_2_1_WEBI_ReportCrossTab" localSheetId="17" hidden="1">#REF!</definedName>
    <definedName name="Crystal_2_1_WEBI_ReportCrossTab" localSheetId="16" hidden="1">#REF!</definedName>
    <definedName name="Crystal_2_1_WEBI_ReportCrossTab" hidden="1">#REF!</definedName>
    <definedName name="Crystal_2_1_WEBI_Space" localSheetId="13" hidden="1">#REF!</definedName>
    <definedName name="Crystal_2_1_WEBI_Space" localSheetId="11" hidden="1">#REF!</definedName>
    <definedName name="Crystal_2_1_WEBI_Space" localSheetId="19" hidden="1">#REF!</definedName>
    <definedName name="Crystal_2_1_WEBI_Space" localSheetId="18" hidden="1">#REF!</definedName>
    <definedName name="Crystal_2_1_WEBI_Space" localSheetId="17" hidden="1">#REF!</definedName>
    <definedName name="Crystal_2_1_WEBI_Space" localSheetId="16" hidden="1">#REF!</definedName>
    <definedName name="Crystal_2_1_WEBI_Space" hidden="1">#REF!</definedName>
    <definedName name="Crystal_2_1_WEBI_VHeading" localSheetId="13" hidden="1">#REF!</definedName>
    <definedName name="Crystal_2_1_WEBI_VHeading" localSheetId="11" hidden="1">#REF!</definedName>
    <definedName name="Crystal_2_1_WEBI_VHeading" localSheetId="19" hidden="1">#REF!</definedName>
    <definedName name="Crystal_2_1_WEBI_VHeading" localSheetId="18" hidden="1">#REF!</definedName>
    <definedName name="Crystal_2_1_WEBI_VHeading" localSheetId="17" hidden="1">#REF!</definedName>
    <definedName name="Crystal_2_1_WEBI_VHeading" localSheetId="16" hidden="1">#REF!</definedName>
    <definedName name="Crystal_2_1_WEBI_VHeading" hidden="1">#REF!</definedName>
    <definedName name="Crystal_3_1_WEBI_DataGrid" localSheetId="13" hidden="1">#REF!</definedName>
    <definedName name="Crystal_3_1_WEBI_DataGrid" localSheetId="11" hidden="1">#REF!</definedName>
    <definedName name="Crystal_3_1_WEBI_DataGrid" localSheetId="19" hidden="1">#REF!</definedName>
    <definedName name="Crystal_3_1_WEBI_DataGrid" localSheetId="18" hidden="1">#REF!</definedName>
    <definedName name="Crystal_3_1_WEBI_DataGrid" localSheetId="17" hidden="1">#REF!</definedName>
    <definedName name="Crystal_3_1_WEBI_DataGrid" localSheetId="16" hidden="1">#REF!</definedName>
    <definedName name="Crystal_3_1_WEBI_DataGrid" hidden="1">#REF!</definedName>
    <definedName name="Crystal_3_1_WEBI_HHeading" localSheetId="13" hidden="1">#REF!</definedName>
    <definedName name="Crystal_3_1_WEBI_HHeading" localSheetId="11" hidden="1">#REF!</definedName>
    <definedName name="Crystal_3_1_WEBI_HHeading" localSheetId="19" hidden="1">#REF!</definedName>
    <definedName name="Crystal_3_1_WEBI_HHeading" localSheetId="18" hidden="1">#REF!</definedName>
    <definedName name="Crystal_3_1_WEBI_HHeading" localSheetId="17" hidden="1">#REF!</definedName>
    <definedName name="Crystal_3_1_WEBI_HHeading" localSheetId="16" hidden="1">#REF!</definedName>
    <definedName name="Crystal_3_1_WEBI_HHeading" hidden="1">#REF!</definedName>
    <definedName name="Crystal_3_1_WEBI_Table" localSheetId="13" hidden="1">#REF!</definedName>
    <definedName name="Crystal_3_1_WEBI_Table" localSheetId="11" hidden="1">#REF!</definedName>
    <definedName name="Crystal_3_1_WEBI_Table" localSheetId="19" hidden="1">#REF!</definedName>
    <definedName name="Crystal_3_1_WEBI_Table" localSheetId="18" hidden="1">#REF!</definedName>
    <definedName name="Crystal_3_1_WEBI_Table" localSheetId="17" hidden="1">#REF!</definedName>
    <definedName name="Crystal_3_1_WEBI_Table" localSheetId="16" hidden="1">#REF!</definedName>
    <definedName name="Crystal_3_1_WEBI_Table" hidden="1">#REF!</definedName>
    <definedName name="Crystal_4_1_WEBI_DataGrid" localSheetId="13" hidden="1">#REF!</definedName>
    <definedName name="Crystal_4_1_WEBI_DataGrid" localSheetId="11" hidden="1">#REF!</definedName>
    <definedName name="Crystal_4_1_WEBI_DataGrid" localSheetId="19" hidden="1">#REF!</definedName>
    <definedName name="Crystal_4_1_WEBI_DataGrid" localSheetId="18" hidden="1">#REF!</definedName>
    <definedName name="Crystal_4_1_WEBI_DataGrid" localSheetId="17" hidden="1">#REF!</definedName>
    <definedName name="Crystal_4_1_WEBI_DataGrid" localSheetId="16" hidden="1">#REF!</definedName>
    <definedName name="Crystal_4_1_WEBI_DataGrid" hidden="1">#REF!</definedName>
    <definedName name="Crystal_4_1_WEBI_HHeading" localSheetId="13" hidden="1">#REF!</definedName>
    <definedName name="Crystal_4_1_WEBI_HHeading" localSheetId="11" hidden="1">#REF!</definedName>
    <definedName name="Crystal_4_1_WEBI_HHeading" localSheetId="19" hidden="1">#REF!</definedName>
    <definedName name="Crystal_4_1_WEBI_HHeading" localSheetId="18" hidden="1">#REF!</definedName>
    <definedName name="Crystal_4_1_WEBI_HHeading" localSheetId="17" hidden="1">#REF!</definedName>
    <definedName name="Crystal_4_1_WEBI_HHeading" localSheetId="16" hidden="1">#REF!</definedName>
    <definedName name="Crystal_4_1_WEBI_HHeading" hidden="1">#REF!</definedName>
    <definedName name="Crystal_4_1_WEBI_ReportCrossTab" localSheetId="13" hidden="1">#REF!</definedName>
    <definedName name="Crystal_4_1_WEBI_ReportCrossTab" localSheetId="11" hidden="1">#REF!</definedName>
    <definedName name="Crystal_4_1_WEBI_ReportCrossTab" localSheetId="19" hidden="1">#REF!</definedName>
    <definedName name="Crystal_4_1_WEBI_ReportCrossTab" localSheetId="18" hidden="1">#REF!</definedName>
    <definedName name="Crystal_4_1_WEBI_ReportCrossTab" localSheetId="17" hidden="1">#REF!</definedName>
    <definedName name="Crystal_4_1_WEBI_ReportCrossTab" localSheetId="16" hidden="1">#REF!</definedName>
    <definedName name="Crystal_4_1_WEBI_ReportCrossTab" hidden="1">#REF!</definedName>
    <definedName name="Crystal_4_1_WEBI_Space" localSheetId="13" hidden="1">#REF!</definedName>
    <definedName name="Crystal_4_1_WEBI_Space" localSheetId="11" hidden="1">#REF!</definedName>
    <definedName name="Crystal_4_1_WEBI_Space" localSheetId="19" hidden="1">#REF!</definedName>
    <definedName name="Crystal_4_1_WEBI_Space" localSheetId="18" hidden="1">#REF!</definedName>
    <definedName name="Crystal_4_1_WEBI_Space" localSheetId="17" hidden="1">#REF!</definedName>
    <definedName name="Crystal_4_1_WEBI_Space" localSheetId="16" hidden="1">#REF!</definedName>
    <definedName name="Crystal_4_1_WEBI_Space" hidden="1">#REF!</definedName>
    <definedName name="Crystal_4_1_WEBI_VHeading" localSheetId="13" hidden="1">#REF!</definedName>
    <definedName name="Crystal_4_1_WEBI_VHeading" localSheetId="11" hidden="1">#REF!</definedName>
    <definedName name="Crystal_4_1_WEBI_VHeading" localSheetId="19" hidden="1">#REF!</definedName>
    <definedName name="Crystal_4_1_WEBI_VHeading" localSheetId="18" hidden="1">#REF!</definedName>
    <definedName name="Crystal_4_1_WEBI_VHeading" localSheetId="17" hidden="1">#REF!</definedName>
    <definedName name="Crystal_4_1_WEBI_VHeading" localSheetId="16" hidden="1">#REF!</definedName>
    <definedName name="Crystal_4_1_WEBI_VHeading" hidden="1">#REF!</definedName>
    <definedName name="Crystal_5_1_WEBI_DataGrid" localSheetId="13" hidden="1">#REF!</definedName>
    <definedName name="Crystal_5_1_WEBI_DataGrid" localSheetId="11" hidden="1">#REF!</definedName>
    <definedName name="Crystal_5_1_WEBI_DataGrid" localSheetId="19" hidden="1">#REF!</definedName>
    <definedName name="Crystal_5_1_WEBI_DataGrid" localSheetId="18" hidden="1">#REF!</definedName>
    <definedName name="Crystal_5_1_WEBI_DataGrid" localSheetId="17" hidden="1">#REF!</definedName>
    <definedName name="Crystal_5_1_WEBI_DataGrid" localSheetId="16" hidden="1">#REF!</definedName>
    <definedName name="Crystal_5_1_WEBI_DataGrid" hidden="1">#REF!</definedName>
    <definedName name="Crystal_5_1_WEBI_HHeading" localSheetId="13" hidden="1">#REF!</definedName>
    <definedName name="Crystal_5_1_WEBI_HHeading" localSheetId="11" hidden="1">#REF!</definedName>
    <definedName name="Crystal_5_1_WEBI_HHeading" localSheetId="19" hidden="1">#REF!</definedName>
    <definedName name="Crystal_5_1_WEBI_HHeading" localSheetId="18" hidden="1">#REF!</definedName>
    <definedName name="Crystal_5_1_WEBI_HHeading" localSheetId="17" hidden="1">#REF!</definedName>
    <definedName name="Crystal_5_1_WEBI_HHeading" localSheetId="16" hidden="1">#REF!</definedName>
    <definedName name="Crystal_5_1_WEBI_HHeading" hidden="1">#REF!</definedName>
    <definedName name="Crystal_5_1_WEBI_ReportCrossTab" localSheetId="13" hidden="1">#REF!</definedName>
    <definedName name="Crystal_5_1_WEBI_ReportCrossTab" localSheetId="11" hidden="1">#REF!</definedName>
    <definedName name="Crystal_5_1_WEBI_ReportCrossTab" localSheetId="19" hidden="1">#REF!</definedName>
    <definedName name="Crystal_5_1_WEBI_ReportCrossTab" localSheetId="18" hidden="1">#REF!</definedName>
    <definedName name="Crystal_5_1_WEBI_ReportCrossTab" localSheetId="17" hidden="1">#REF!</definedName>
    <definedName name="Crystal_5_1_WEBI_ReportCrossTab" localSheetId="16" hidden="1">#REF!</definedName>
    <definedName name="Crystal_5_1_WEBI_ReportCrossTab" hidden="1">#REF!</definedName>
    <definedName name="Crystal_5_1_WEBI_Space" localSheetId="13" hidden="1">#REF!</definedName>
    <definedName name="Crystal_5_1_WEBI_Space" localSheetId="11" hidden="1">#REF!</definedName>
    <definedName name="Crystal_5_1_WEBI_Space" localSheetId="19" hidden="1">#REF!</definedName>
    <definedName name="Crystal_5_1_WEBI_Space" localSheetId="18" hidden="1">#REF!</definedName>
    <definedName name="Crystal_5_1_WEBI_Space" localSheetId="17" hidden="1">#REF!</definedName>
    <definedName name="Crystal_5_1_WEBI_Space" localSheetId="16" hidden="1">#REF!</definedName>
    <definedName name="Crystal_5_1_WEBI_Space" hidden="1">#REF!</definedName>
    <definedName name="Crystal_5_1_WEBI_VHeading" localSheetId="13" hidden="1">#REF!</definedName>
    <definedName name="Crystal_5_1_WEBI_VHeading" localSheetId="11" hidden="1">#REF!</definedName>
    <definedName name="Crystal_5_1_WEBI_VHeading" localSheetId="19" hidden="1">#REF!</definedName>
    <definedName name="Crystal_5_1_WEBI_VHeading" localSheetId="18" hidden="1">#REF!</definedName>
    <definedName name="Crystal_5_1_WEBI_VHeading" localSheetId="17" hidden="1">#REF!</definedName>
    <definedName name="Crystal_5_1_WEBI_VHeading" localSheetId="16" hidden="1">#REF!</definedName>
    <definedName name="Crystal_5_1_WEBI_VHeading" hidden="1">#REF!</definedName>
    <definedName name="Crystal_6_1_WEBI_DataGrid" localSheetId="13" hidden="1">#REF!</definedName>
    <definedName name="Crystal_6_1_WEBI_DataGrid" localSheetId="11" hidden="1">#REF!</definedName>
    <definedName name="Crystal_6_1_WEBI_DataGrid" localSheetId="19" hidden="1">#REF!</definedName>
    <definedName name="Crystal_6_1_WEBI_DataGrid" localSheetId="18" hidden="1">#REF!</definedName>
    <definedName name="Crystal_6_1_WEBI_DataGrid" localSheetId="17" hidden="1">#REF!</definedName>
    <definedName name="Crystal_6_1_WEBI_DataGrid" localSheetId="16" hidden="1">#REF!</definedName>
    <definedName name="Crystal_6_1_WEBI_DataGrid" hidden="1">#REF!</definedName>
    <definedName name="Crystal_6_1_WEBI_HHeading" localSheetId="13" hidden="1">#REF!</definedName>
    <definedName name="Crystal_6_1_WEBI_HHeading" localSheetId="11" hidden="1">#REF!</definedName>
    <definedName name="Crystal_6_1_WEBI_HHeading" localSheetId="19" hidden="1">#REF!</definedName>
    <definedName name="Crystal_6_1_WEBI_HHeading" localSheetId="18" hidden="1">#REF!</definedName>
    <definedName name="Crystal_6_1_WEBI_HHeading" localSheetId="17" hidden="1">#REF!</definedName>
    <definedName name="Crystal_6_1_WEBI_HHeading" localSheetId="16" hidden="1">#REF!</definedName>
    <definedName name="Crystal_6_1_WEBI_HHeading" hidden="1">#REF!</definedName>
    <definedName name="Crystal_6_1_WEBI_ReportCrossTab" localSheetId="13" hidden="1">#REF!</definedName>
    <definedName name="Crystal_6_1_WEBI_ReportCrossTab" localSheetId="11" hidden="1">#REF!</definedName>
    <definedName name="Crystal_6_1_WEBI_ReportCrossTab" localSheetId="19" hidden="1">#REF!</definedName>
    <definedName name="Crystal_6_1_WEBI_ReportCrossTab" localSheetId="18" hidden="1">#REF!</definedName>
    <definedName name="Crystal_6_1_WEBI_ReportCrossTab" localSheetId="17" hidden="1">#REF!</definedName>
    <definedName name="Crystal_6_1_WEBI_ReportCrossTab" localSheetId="16" hidden="1">#REF!</definedName>
    <definedName name="Crystal_6_1_WEBI_ReportCrossTab" hidden="1">#REF!</definedName>
    <definedName name="Crystal_6_1_WEBI_Space" localSheetId="13" hidden="1">#REF!</definedName>
    <definedName name="Crystal_6_1_WEBI_Space" localSheetId="11" hidden="1">#REF!</definedName>
    <definedName name="Crystal_6_1_WEBI_Space" localSheetId="19" hidden="1">#REF!</definedName>
    <definedName name="Crystal_6_1_WEBI_Space" localSheetId="18" hidden="1">#REF!</definedName>
    <definedName name="Crystal_6_1_WEBI_Space" localSheetId="17" hidden="1">#REF!</definedName>
    <definedName name="Crystal_6_1_WEBI_Space" localSheetId="16" hidden="1">#REF!</definedName>
    <definedName name="Crystal_6_1_WEBI_Space" hidden="1">#REF!</definedName>
    <definedName name="Crystal_6_1_WEBI_VHeading" localSheetId="13" hidden="1">#REF!</definedName>
    <definedName name="Crystal_6_1_WEBI_VHeading" localSheetId="11" hidden="1">#REF!</definedName>
    <definedName name="Crystal_6_1_WEBI_VHeading" localSheetId="19" hidden="1">#REF!</definedName>
    <definedName name="Crystal_6_1_WEBI_VHeading" localSheetId="18" hidden="1">#REF!</definedName>
    <definedName name="Crystal_6_1_WEBI_VHeading" localSheetId="17" hidden="1">#REF!</definedName>
    <definedName name="Crystal_6_1_WEBI_VHeading" localSheetId="16" hidden="1">#REF!</definedName>
    <definedName name="Crystal_6_1_WEBI_VHeading" hidden="1">#REF!</definedName>
    <definedName name="Crystal_7_1_WEBI_DataGrid" localSheetId="13" hidden="1">#REF!</definedName>
    <definedName name="Crystal_7_1_WEBI_DataGrid" localSheetId="12" hidden="1">#REF!</definedName>
    <definedName name="Crystal_7_1_WEBI_DataGrid" localSheetId="11" hidden="1">#REF!</definedName>
    <definedName name="Crystal_7_1_WEBI_DataGrid" localSheetId="3" hidden="1">'[1]Budget by week'!#REF!</definedName>
    <definedName name="Crystal_7_1_WEBI_DataGrid" localSheetId="19" hidden="1">#REF!</definedName>
    <definedName name="Crystal_7_1_WEBI_DataGrid" localSheetId="18" hidden="1">#REF!</definedName>
    <definedName name="Crystal_7_1_WEBI_DataGrid" localSheetId="17" hidden="1">#REF!</definedName>
    <definedName name="Crystal_7_1_WEBI_DataGrid" localSheetId="16" hidden="1">#REF!</definedName>
    <definedName name="Crystal_7_1_WEBI_DataGrid" hidden="1">#REF!</definedName>
    <definedName name="Crystal_7_1_WEBI_HHeading" localSheetId="13" hidden="1">#REF!</definedName>
    <definedName name="Crystal_7_1_WEBI_HHeading" localSheetId="12" hidden="1">#REF!</definedName>
    <definedName name="Crystal_7_1_WEBI_HHeading" localSheetId="11" hidden="1">#REF!</definedName>
    <definedName name="Crystal_7_1_WEBI_HHeading" localSheetId="3" hidden="1">'[1]Budget by week'!#REF!</definedName>
    <definedName name="Crystal_7_1_WEBI_HHeading" localSheetId="19" hidden="1">#REF!</definedName>
    <definedName name="Crystal_7_1_WEBI_HHeading" localSheetId="18" hidden="1">#REF!</definedName>
    <definedName name="Crystal_7_1_WEBI_HHeading" localSheetId="17" hidden="1">#REF!</definedName>
    <definedName name="Crystal_7_1_WEBI_HHeading" localSheetId="16" hidden="1">#REF!</definedName>
    <definedName name="Crystal_7_1_WEBI_HHeading" hidden="1">#REF!</definedName>
    <definedName name="Crystal_7_1_WEBI_ReportCrossTab" localSheetId="13" hidden="1">#REF!</definedName>
    <definedName name="Crystal_7_1_WEBI_ReportCrossTab" localSheetId="12" hidden="1">#REF!</definedName>
    <definedName name="Crystal_7_1_WEBI_ReportCrossTab" localSheetId="11" hidden="1">#REF!</definedName>
    <definedName name="Crystal_7_1_WEBI_ReportCrossTab" localSheetId="3" hidden="1">'[1]Budget by week'!#REF!</definedName>
    <definedName name="Crystal_7_1_WEBI_ReportCrossTab" localSheetId="19" hidden="1">#REF!</definedName>
    <definedName name="Crystal_7_1_WEBI_ReportCrossTab" localSheetId="18" hidden="1">#REF!</definedName>
    <definedName name="Crystal_7_1_WEBI_ReportCrossTab" localSheetId="17" hidden="1">#REF!</definedName>
    <definedName name="Crystal_7_1_WEBI_ReportCrossTab" localSheetId="16" hidden="1">#REF!</definedName>
    <definedName name="Crystal_7_1_WEBI_ReportCrossTab" hidden="1">#REF!</definedName>
    <definedName name="Crystal_7_1_WEBI_Space" localSheetId="13" hidden="1">#REF!</definedName>
    <definedName name="Crystal_7_1_WEBI_Space" localSheetId="12" hidden="1">#REF!</definedName>
    <definedName name="Crystal_7_1_WEBI_Space" localSheetId="11" hidden="1">#REF!</definedName>
    <definedName name="Crystal_7_1_WEBI_Space" localSheetId="3" hidden="1">'[1]Budget by week'!#REF!</definedName>
    <definedName name="Crystal_7_1_WEBI_Space" localSheetId="19" hidden="1">#REF!</definedName>
    <definedName name="Crystal_7_1_WEBI_Space" localSheetId="18" hidden="1">#REF!</definedName>
    <definedName name="Crystal_7_1_WEBI_Space" localSheetId="17" hidden="1">#REF!</definedName>
    <definedName name="Crystal_7_1_WEBI_Space" localSheetId="16" hidden="1">#REF!</definedName>
    <definedName name="Crystal_7_1_WEBI_Space" hidden="1">#REF!</definedName>
    <definedName name="Crystal_7_1_WEBI_VHeading" localSheetId="13" hidden="1">#REF!</definedName>
    <definedName name="Crystal_7_1_WEBI_VHeading" localSheetId="12" hidden="1">#REF!</definedName>
    <definedName name="Crystal_7_1_WEBI_VHeading" localSheetId="11" hidden="1">#REF!</definedName>
    <definedName name="Crystal_7_1_WEBI_VHeading" localSheetId="3" hidden="1">'[1]Budget by week'!#REF!</definedName>
    <definedName name="Crystal_7_1_WEBI_VHeading" localSheetId="19" hidden="1">#REF!</definedName>
    <definedName name="Crystal_7_1_WEBI_VHeading" localSheetId="18" hidden="1">#REF!</definedName>
    <definedName name="Crystal_7_1_WEBI_VHeading" localSheetId="17" hidden="1">#REF!</definedName>
    <definedName name="Crystal_7_1_WEBI_VHeading" localSheetId="16" hidden="1">#REF!</definedName>
    <definedName name="Crystal_7_1_WEBI_VHeading" hidden="1">#REF!</definedName>
    <definedName name="Crystal_8_1_WEBI_DataGrid" localSheetId="13" hidden="1">#REF!</definedName>
    <definedName name="Crystal_8_1_WEBI_DataGrid" localSheetId="11" hidden="1">#REF!</definedName>
    <definedName name="Crystal_8_1_WEBI_DataGrid" localSheetId="19" hidden="1">#REF!</definedName>
    <definedName name="Crystal_8_1_WEBI_DataGrid" localSheetId="18" hidden="1">#REF!</definedName>
    <definedName name="Crystal_8_1_WEBI_DataGrid" localSheetId="17" hidden="1">#REF!</definedName>
    <definedName name="Crystal_8_1_WEBI_DataGrid" localSheetId="16" hidden="1">#REF!</definedName>
    <definedName name="Crystal_8_1_WEBI_DataGrid" hidden="1">#REF!</definedName>
    <definedName name="Crystal_8_1_WEBI_HHeading" localSheetId="13" hidden="1">#REF!</definedName>
    <definedName name="Crystal_8_1_WEBI_HHeading" localSheetId="11" hidden="1">#REF!</definedName>
    <definedName name="Crystal_8_1_WEBI_HHeading" localSheetId="19" hidden="1">#REF!</definedName>
    <definedName name="Crystal_8_1_WEBI_HHeading" localSheetId="18" hidden="1">#REF!</definedName>
    <definedName name="Crystal_8_1_WEBI_HHeading" localSheetId="17" hidden="1">#REF!</definedName>
    <definedName name="Crystal_8_1_WEBI_HHeading" localSheetId="16" hidden="1">#REF!</definedName>
    <definedName name="Crystal_8_1_WEBI_HHeading" hidden="1">#REF!</definedName>
    <definedName name="Crystal_8_1_WEBI_ReportCrossTab" localSheetId="13" hidden="1">#REF!</definedName>
    <definedName name="Crystal_8_1_WEBI_ReportCrossTab" localSheetId="11" hidden="1">#REF!</definedName>
    <definedName name="Crystal_8_1_WEBI_ReportCrossTab" localSheetId="19" hidden="1">#REF!</definedName>
    <definedName name="Crystal_8_1_WEBI_ReportCrossTab" localSheetId="18" hidden="1">#REF!</definedName>
    <definedName name="Crystal_8_1_WEBI_ReportCrossTab" localSheetId="17" hidden="1">#REF!</definedName>
    <definedName name="Crystal_8_1_WEBI_ReportCrossTab" localSheetId="16" hidden="1">#REF!</definedName>
    <definedName name="Crystal_8_1_WEBI_ReportCrossTab" hidden="1">#REF!</definedName>
    <definedName name="Crystal_8_1_WEBI_Space" localSheetId="13" hidden="1">#REF!</definedName>
    <definedName name="Crystal_8_1_WEBI_Space" localSheetId="11" hidden="1">#REF!</definedName>
    <definedName name="Crystal_8_1_WEBI_Space" localSheetId="19" hidden="1">#REF!</definedName>
    <definedName name="Crystal_8_1_WEBI_Space" localSheetId="18" hidden="1">#REF!</definedName>
    <definedName name="Crystal_8_1_WEBI_Space" localSheetId="17" hidden="1">#REF!</definedName>
    <definedName name="Crystal_8_1_WEBI_Space" localSheetId="16" hidden="1">#REF!</definedName>
    <definedName name="Crystal_8_1_WEBI_Space" hidden="1">#REF!</definedName>
    <definedName name="Crystal_8_1_WEBI_VHeading" localSheetId="13" hidden="1">#REF!</definedName>
    <definedName name="Crystal_8_1_WEBI_VHeading" localSheetId="11" hidden="1">#REF!</definedName>
    <definedName name="Crystal_8_1_WEBI_VHeading" localSheetId="19" hidden="1">#REF!</definedName>
    <definedName name="Crystal_8_1_WEBI_VHeading" localSheetId="18" hidden="1">#REF!</definedName>
    <definedName name="Crystal_8_1_WEBI_VHeading" localSheetId="17" hidden="1">#REF!</definedName>
    <definedName name="Crystal_8_1_WEBI_VHeading" localSheetId="16" hidden="1">#REF!</definedName>
    <definedName name="Crystal_8_1_WEBI_VHeading" hidden="1">#REF!</definedName>
    <definedName name="Crystal_9_1_WEBI_DataGrid" localSheetId="13" hidden="1">#REF!</definedName>
    <definedName name="Crystal_9_1_WEBI_DataGrid" localSheetId="11" hidden="1">#REF!</definedName>
    <definedName name="Crystal_9_1_WEBI_DataGrid" localSheetId="19" hidden="1">#REF!</definedName>
    <definedName name="Crystal_9_1_WEBI_DataGrid" localSheetId="18" hidden="1">#REF!</definedName>
    <definedName name="Crystal_9_1_WEBI_DataGrid" localSheetId="17" hidden="1">#REF!</definedName>
    <definedName name="Crystal_9_1_WEBI_DataGrid" localSheetId="16" hidden="1">#REF!</definedName>
    <definedName name="Crystal_9_1_WEBI_DataGrid" hidden="1">#REF!</definedName>
    <definedName name="Crystal_9_1_WEBI_HHeading" localSheetId="13" hidden="1">#REF!</definedName>
    <definedName name="Crystal_9_1_WEBI_HHeading" localSheetId="11" hidden="1">#REF!</definedName>
    <definedName name="Crystal_9_1_WEBI_HHeading" localSheetId="19" hidden="1">#REF!</definedName>
    <definedName name="Crystal_9_1_WEBI_HHeading" localSheetId="18" hidden="1">#REF!</definedName>
    <definedName name="Crystal_9_1_WEBI_HHeading" localSheetId="17" hidden="1">#REF!</definedName>
    <definedName name="Crystal_9_1_WEBI_HHeading" localSheetId="16" hidden="1">#REF!</definedName>
    <definedName name="Crystal_9_1_WEBI_HHeading" hidden="1">#REF!</definedName>
    <definedName name="Crystal_9_1_WEBI_ReportCrossTab" localSheetId="13" hidden="1">#REF!</definedName>
    <definedName name="Crystal_9_1_WEBI_ReportCrossTab" localSheetId="11" hidden="1">#REF!</definedName>
    <definedName name="Crystal_9_1_WEBI_ReportCrossTab" localSheetId="19" hidden="1">#REF!</definedName>
    <definedName name="Crystal_9_1_WEBI_ReportCrossTab" localSheetId="18" hidden="1">#REF!</definedName>
    <definedName name="Crystal_9_1_WEBI_ReportCrossTab" localSheetId="17" hidden="1">#REF!</definedName>
    <definedName name="Crystal_9_1_WEBI_ReportCrossTab" localSheetId="16" hidden="1">#REF!</definedName>
    <definedName name="Crystal_9_1_WEBI_ReportCrossTab" hidden="1">#REF!</definedName>
    <definedName name="Crystal_9_1_WEBI_Space" localSheetId="13" hidden="1">#REF!</definedName>
    <definedName name="Crystal_9_1_WEBI_Space" localSheetId="11" hidden="1">#REF!</definedName>
    <definedName name="Crystal_9_1_WEBI_Space" localSheetId="19" hidden="1">#REF!</definedName>
    <definedName name="Crystal_9_1_WEBI_Space" localSheetId="18" hidden="1">#REF!</definedName>
    <definedName name="Crystal_9_1_WEBI_Space" localSheetId="17" hidden="1">#REF!</definedName>
    <definedName name="Crystal_9_1_WEBI_Space" localSheetId="16" hidden="1">#REF!</definedName>
    <definedName name="Crystal_9_1_WEBI_Space" hidden="1">#REF!</definedName>
    <definedName name="Crystal_9_1_WEBI_VHeading" localSheetId="13" hidden="1">#REF!</definedName>
    <definedName name="Crystal_9_1_WEBI_VHeading" localSheetId="11" hidden="1">#REF!</definedName>
    <definedName name="Crystal_9_1_WEBI_VHeading" localSheetId="19" hidden="1">#REF!</definedName>
    <definedName name="Crystal_9_1_WEBI_VHeading" localSheetId="18" hidden="1">#REF!</definedName>
    <definedName name="Crystal_9_1_WEBI_VHeading" localSheetId="17" hidden="1">#REF!</definedName>
    <definedName name="Crystal_9_1_WEBI_VHeading" localSheetId="16" hidden="1">#REF!</definedName>
    <definedName name="Crystal_9_1_WEBI_VHeading" hidden="1">#REF!</definedName>
    <definedName name="_xlnm.Print_Area" localSheetId="13">'AAR 2016'!$A$1:$BB$49</definedName>
    <definedName name="_xlnm.Print_Area" localSheetId="12">'AAR 2017'!$A$1:$BB$49</definedName>
    <definedName name="_xlnm.Print_Area" localSheetId="11">'AAR 2018'!$A$1:$BB$49</definedName>
    <definedName name="_xlnm.Print_Area" localSheetId="10">'AAR 2019'!$A$1:$BB$49</definedName>
    <definedName name="_xlnm.Print_Area" localSheetId="9">'AAR 2020'!$A$1:$BC$50</definedName>
    <definedName name="_xlnm.Print_Area" localSheetId="8">'AAR 2021'!$A$1:$BB$49</definedName>
    <definedName name="_xlnm.Print_Area" localSheetId="7">'AAR 2022'!$A$1:$BB$49</definedName>
    <definedName name="_xlnm.Print_Area" localSheetId="6">'AAR 2023'!$A$1:$BB$49</definedName>
    <definedName name="_xlnm.Print_Area" localSheetId="5">'AAR 2024'!$A$1:$BB$49</definedName>
    <definedName name="_xlnm.Print_Area" localSheetId="4">'AAR 2025'!$A$1:$BB$49</definedName>
    <definedName name="_xlnm.Print_Area" localSheetId="3">'AAR 2026'!$A$1:$BB$49</definedName>
    <definedName name="_xlnm.Print_Area" localSheetId="1">'AAR Commodity Grouping - En'!$A$1:$F$39</definedName>
    <definedName name="_xlnm.Print_Area" localSheetId="24">'BU 2016'!$A$1:$BA$49</definedName>
    <definedName name="_xlnm.Print_Area" localSheetId="23">'BU 2017'!$A$1:$BA$49</definedName>
    <definedName name="_xlnm.Print_Area" localSheetId="19">'BU 2021'!$A$1:$BA$49</definedName>
    <definedName name="_xlnm.Print_Area" localSheetId="18">'BU 2022'!$A$1:$BA$49</definedName>
    <definedName name="_xlnm.Print_Area" localSheetId="17">'BU 2023'!$A$1:$BA$49</definedName>
    <definedName name="_xlnm.Print_Area" localSheetId="16">'BU 2024'!$A$1:$BA$49</definedName>
    <definedName name="_xlnm.Print_Area" localSheetId="15">'BU 2025'!$A$1:$BA$49</definedName>
    <definedName name="_xlnm.Print_Area" localSheetId="14">'BU 2026'!$A$1:$BA$49</definedName>
    <definedName name="_xlnm.Print_Area" localSheetId="0">'Groupe de produits AAR - Fr'!$A$1:$F$39</definedName>
    <definedName name="_xlnm.Print_Titles" localSheetId="13">'AAR 2016'!$A:$B,'AAR 2016'!$1:$1</definedName>
    <definedName name="_xlnm.Print_Titles" localSheetId="12">'AAR 2017'!$A:$B,'AAR 2017'!$1:$1</definedName>
    <definedName name="_xlnm.Print_Titles" localSheetId="11">'AAR 2018'!$A:$B,'AAR 2018'!$1:$1</definedName>
    <definedName name="_xlnm.Print_Titles" localSheetId="10">'AAR 2019'!$A:$B,'AAR 2019'!$1:$1</definedName>
    <definedName name="_xlnm.Print_Titles" localSheetId="9">'AAR 2020'!$A:$B,'AAR 2020'!$1:$1</definedName>
    <definedName name="_xlnm.Print_Titles" localSheetId="8">'AAR 2021'!$A:$B,'AAR 2021'!$1:$1</definedName>
    <definedName name="_xlnm.Print_Titles" localSheetId="7">'AAR 2022'!$A:$B,'AAR 2022'!$1:$1</definedName>
    <definedName name="_xlnm.Print_Titles" localSheetId="6">'AAR 2023'!$A:$B,'AAR 2023'!$1:$1</definedName>
    <definedName name="_xlnm.Print_Titles" localSheetId="5">'AAR 2024'!$A:$B,'AAR 2024'!$1:$1</definedName>
    <definedName name="_xlnm.Print_Titles" localSheetId="4">'AAR 2025'!$A:$B,'AAR 2025'!$1:$1</definedName>
    <definedName name="_xlnm.Print_Titles" localSheetId="3">'AAR 2026'!$A:$B,'AAR 2026'!$1:$1</definedName>
    <definedName name="_xlnm.Print_Titles" localSheetId="24">'BU 2016'!$A:$A,'BU 2016'!$1:$1</definedName>
    <definedName name="_xlnm.Print_Titles" localSheetId="23">'BU 2017'!$A:$A,'BU 2017'!$1:$1</definedName>
    <definedName name="_xlnm.Print_Titles" localSheetId="19">'BU 2021'!$A:$A,'BU 2021'!$1:$1</definedName>
    <definedName name="_xlnm.Print_Titles" localSheetId="18">'BU 2022'!$A:$A,'BU 2022'!$1:$1</definedName>
    <definedName name="_xlnm.Print_Titles" localSheetId="17">'BU 2023'!$A:$A,'BU 2023'!$1:$1</definedName>
    <definedName name="_xlnm.Print_Titles" localSheetId="16">'BU 2024'!$A:$A,'BU 2024'!$1:$1</definedName>
    <definedName name="_xlnm.Print_Titles" localSheetId="15">'BU 2025'!$A:$A,'BU 2025'!$1:$1</definedName>
    <definedName name="_xlnm.Print_Titles" localSheetId="14">'BU 2026'!$A:$A,'BU 2026'!$1:$1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4" i="78" l="1"/>
  <c r="S24" i="78"/>
  <c r="N24" i="78"/>
  <c r="I24" i="78"/>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<sst xmlns="http://schemas.openxmlformats.org/spreadsheetml/2006/main" count="851" uniqueCount="245">
  <si>
    <t>Définitions des catégories intermodal et wagons complets du rapport hebdomadaire sur le trafic ferroviaire</t>
  </si>
  <si>
    <t>À compter de la semaine 1 de 2011</t>
  </si>
  <si>
    <t>Tout trafic circulant dans du matériel intermodal doit être déclaré comme trafic intermodal, même si le code STCC est connu. S'il est connu, tous les wagons complets qui contiennent des matières dangereuses (c'est-à-dire le trafic ayant le code STCC 49) doivent être déclarés en fonction du  marketing STCC (c'est-à-dire les codes STCC autres que 49); si inconnu, le trafic de matières dangereuses par wagons complets devrait être inclus dans la catégorie 12 – Produits chimiques.</t>
  </si>
  <si>
    <t>No.</t>
  </si>
  <si>
    <t>Catégorie</t>
  </si>
  <si>
    <t>Code STCC</t>
  </si>
  <si>
    <t>Description</t>
  </si>
  <si>
    <t>Description supplémentaire du CN</t>
  </si>
  <si>
    <t>Trafic wagons complets</t>
  </si>
  <si>
    <t>Céréales</t>
  </si>
  <si>
    <t>0113 et 01144</t>
  </si>
  <si>
    <t>Céréales (blé, maïs, sorgho, orge, avoine, etc.) et oléagineux (soja, etc.).</t>
  </si>
  <si>
    <t>Les céréales – les grains entiers – comprennent le blé, l'orge, le maïs et le soja.</t>
  </si>
  <si>
    <t>Produits de la ferme sauf les céréales</t>
  </si>
  <si>
    <t>01, sauf 0113 et 01144</t>
  </si>
  <si>
    <t>Tous les produits de la ferme sauf les céréales et les oléagineux (catégorie n° 1).</t>
  </si>
  <si>
    <t>Produits de la ferme – comprend les graines oléagineuses, les pois, les lentilles et le canola.</t>
  </si>
  <si>
    <t>Minerais métalliques</t>
  </si>
  <si>
    <t>10</t>
  </si>
  <si>
    <t>Tous les minerais métalliques (fer, bauxite ou aluminium, cuivre, etc.).</t>
  </si>
  <si>
    <t>Charbon</t>
  </si>
  <si>
    <t>11</t>
  </si>
  <si>
    <t>Charbon bitumineux, anthracite et lignite.</t>
  </si>
  <si>
    <t>Pierre concassée, sable et gravier</t>
  </si>
  <si>
    <t>142 et 144</t>
  </si>
  <si>
    <t>Pierre concassée, sable et gravier.</t>
  </si>
  <si>
    <t>Minéraux non métalliques</t>
  </si>
  <si>
    <t>14, sauf 142 et 144</t>
  </si>
  <si>
    <t>Minéraux non métalliques à l'exception de la pierre concassée, du sable et du gravier (phosphate naturel, sel gemme, soufre, argile, etc.).</t>
  </si>
  <si>
    <t>Produits céréaliers moulus</t>
  </si>
  <si>
    <t>204, 20823, 20859 et 20923</t>
  </si>
  <si>
    <t>Farine, aliments préparés, préparations céréalières, riz blanchi, concassage humide du maïs, drêches de distillerie avec solubles (DDGS), tourteaux de soja et autres céréales moulues.</t>
  </si>
  <si>
    <t>Produits céréaliers moulus - comprend les DDG et la farine de soja (remarque : exclut l'éthanol).</t>
  </si>
  <si>
    <t>Aliments et produits assimilés</t>
  </si>
  <si>
    <t>20, sauf 204, 20823, 20859 et 20923</t>
  </si>
  <si>
    <t>Tous les produits destinés à l'alimentation humaine et animale, à l'exception des produits moulus (catégorie n° 7).</t>
  </si>
  <si>
    <t>Aliments et produits assimilés - comprend la farine de canola, le malt et l'huile de soja/canola.</t>
  </si>
  <si>
    <t>Produits forestiers bruts</t>
  </si>
  <si>
    <t>241</t>
  </si>
  <si>
    <t>Billes de bois à pâte, bois à pâte et autres copeaux de bois.</t>
  </si>
  <si>
    <t>Bois de construction et produits du bois</t>
  </si>
  <si>
    <t>24, sauf 241</t>
  </si>
  <si>
    <t>Tous le bois de construction et produits du bois (à l'exclusion des meubles), à l'exception des produits forestiers bruts (catégorie n° 9).</t>
  </si>
  <si>
    <t>Pâte, papiers et produits connexes</t>
  </si>
  <si>
    <t>26</t>
  </si>
  <si>
    <t>Papier, produits d'usines de pâte à papier, cartons ou panneaux de fibres, ainsi que contenants ou boîtes.</t>
  </si>
  <si>
    <t>Produits chimiques</t>
  </si>
  <si>
    <t>28 et 49 (où le STCC de matières non dangereuses est inconnu)</t>
  </si>
  <si>
    <t>Produits chimiques et gaz industriels, alcools (y compris l'éthanol), plastiques et résines, engrais et matières dangereuses pour lesquels le code STCC de matières non dangereuses n'est pas connu.</t>
  </si>
  <si>
    <t>Produits pétroliers</t>
  </si>
  <si>
    <t>13 et 291</t>
  </si>
  <si>
    <t>Pétrole brut et essence naturelle, ainsi que tous les produits du raffinage du pétrole (essence, carburéacteurs ou carburants hautement volatils ; mazout léger ; huiles lubrifiantes ; asphalte et goudron ; gaz liquéfiés ; etc.).</t>
  </si>
  <si>
    <t>Pierre, argile et verre</t>
  </si>
  <si>
    <t>32</t>
  </si>
  <si>
    <t>Tous types de produits en verre; ciment hydraulique; produits structuraux en argile; produits en béton, en gypse ou en plâtre ; et les abrasifs ou les produits à base d'amiante.</t>
  </si>
  <si>
    <t>Coke</t>
  </si>
  <si>
    <t>29911, 29913 et 29914</t>
  </si>
  <si>
    <t>Briquettes de charbon ou de coke, coke de pétrole et coke produit à partir de charbon.</t>
  </si>
  <si>
    <t>Métaux et produits</t>
  </si>
  <si>
    <t>33 et 34</t>
  </si>
  <si>
    <t>Métaux de première fusion (fer et acier, aluminium, cuivre, laiton, etc.) et produits métalliques fabriqués (outils à main, coutellerie et quincaillerie ; produits métalliques de charpente ; métaux emboutis, etc.)</t>
  </si>
  <si>
    <t>Véhicules automobiles et matériel</t>
  </si>
  <si>
    <t>371 et 41118</t>
  </si>
  <si>
    <t>Véhicules automobiles, carrosseries de voitures particulières, carrosseries d'autobus ou de camions, pièces et accessoires de véhicules automobiles et véhicules d'occasion.</t>
  </si>
  <si>
    <t>Ferraille de fer et d'acier</t>
  </si>
  <si>
    <t>40211</t>
  </si>
  <si>
    <t>Ferrailles et déchets de fer et d'acier</t>
  </si>
  <si>
    <t>Déchets et autres rebuts</t>
  </si>
  <si>
    <t>40, sauf 40211, et 48</t>
  </si>
  <si>
    <t>Tous les autres déchets et rebuts (c'est-à-dire à l'exception des déchets de fer et d'acier) et les déchets dangereux.</t>
  </si>
  <si>
    <t>Tous les autres wagons</t>
  </si>
  <si>
    <t>Tous les autres codes STCC</t>
  </si>
  <si>
    <t>Tout autre trafic de wagons complets non identifié ci-dessus.</t>
  </si>
  <si>
    <t>Trafic intermodal</t>
  </si>
  <si>
    <t>Conteneurs</t>
  </si>
  <si>
    <t>Tout</t>
  </si>
  <si>
    <t>Matériel portant une marque de signalisation se terminant par la lettre « U », se déplaçant sans train de roulement/châssis.</t>
  </si>
  <si>
    <t>Remorques</t>
  </si>
  <si>
    <t>Matériel portant une marque de rapport se terminant par la lettre « Z », avec un train de roulement fixé en permanence (c'est-à-dire, des remorques) et matériel portant une marque de rapport se terminant par la lettre « U », se déplaçant sur un train de roulement/châssis (c'est-à-dire, des conteneurs sur châssis) .</t>
  </si>
  <si>
    <t>Weekly Railroad Traffic Carload and Intermodal Traffic Category Definitions</t>
  </si>
  <si>
    <t>Effective Week 1, 2011</t>
  </si>
  <si>
    <t>All traffic moving in intermodal equipment should be reported as Intermodal Traffic, even if the STCC is known. All carload harzardous
materials traffic (i.e., traffic with a STCC 49 designation) should be reported based upon the marketing STCC (i.e., non-49 STCC) if it is
known; if it is not known, carload hazmat traffic should be included in Category 12 – Chemicals.</t>
  </si>
  <si>
    <t>Category</t>
  </si>
  <si>
    <t>STCCs</t>
  </si>
  <si>
    <t>Description of Traffic Included</t>
  </si>
  <si>
    <t>CN Supplemental Description</t>
  </si>
  <si>
    <t>Carload Traffic</t>
  </si>
  <si>
    <t>Grain</t>
  </si>
  <si>
    <t>0113 and 01144</t>
  </si>
  <si>
    <r>
      <t xml:space="preserve">Grains (wheat, corn, sorghum, barley, oats, </t>
    </r>
    <r>
      <rPr>
        <i/>
        <sz val="9"/>
        <color indexed="8"/>
        <rFont val="Arial"/>
        <family val="2"/>
      </rPr>
      <t>etc.</t>
    </r>
    <r>
      <rPr>
        <sz val="9"/>
        <color indexed="8"/>
        <rFont val="Arial"/>
        <family val="2"/>
      </rPr>
      <t xml:space="preserve">) and oilseeds (soybeans, </t>
    </r>
    <r>
      <rPr>
        <i/>
        <sz val="9"/>
        <color indexed="8"/>
        <rFont val="Arial"/>
        <family val="2"/>
      </rPr>
      <t>etc.</t>
    </r>
    <r>
      <rPr>
        <sz val="9"/>
        <color indexed="8"/>
        <rFont val="Arial"/>
        <family val="2"/>
      </rPr>
      <t>).</t>
    </r>
  </si>
  <si>
    <t>Grain -  whole grains - includes wheat, barley, corn and soybeans.</t>
  </si>
  <si>
    <t>Farm Products, Ex. Grain</t>
  </si>
  <si>
    <t>01, except 0113 and 01144</t>
  </si>
  <si>
    <t>All farm products except grains and oilseeds (Category No. 1).</t>
  </si>
  <si>
    <t>Farm Products - includes oilseeds, Peas, Lentils and Canola.</t>
  </si>
  <si>
    <t>Metallic Ores</t>
  </si>
  <si>
    <r>
      <t xml:space="preserve">All metallic ores (iron, bauxite or aluminum, copper, </t>
    </r>
    <r>
      <rPr>
        <i/>
        <sz val="9"/>
        <color indexed="8"/>
        <rFont val="Arial"/>
        <family val="2"/>
      </rPr>
      <t>etc.).</t>
    </r>
  </si>
  <si>
    <t>Coal</t>
  </si>
  <si>
    <t>Bituminous, anthracite, and lignite coal.</t>
  </si>
  <si>
    <t>Crushed Stone, Sand and Gravel</t>
  </si>
  <si>
    <t>142 and 144</t>
  </si>
  <si>
    <t>Crushed or broken stone, sand, and gravel.</t>
  </si>
  <si>
    <t>Nonmetallic Minerals</t>
  </si>
  <si>
    <t>14, except 142 and 144</t>
  </si>
  <si>
    <r>
      <t xml:space="preserve">Nonmetallic minerals except crushed stone, sand and gravel (phosphate rock, rock salt, sulphur, clay, </t>
    </r>
    <r>
      <rPr>
        <i/>
        <sz val="9"/>
        <color indexed="8"/>
        <rFont val="Arial"/>
        <family val="2"/>
      </rPr>
      <t>etc.</t>
    </r>
    <r>
      <rPr>
        <sz val="9"/>
        <color indexed="8"/>
        <rFont val="Arial"/>
        <family val="2"/>
      </rPr>
      <t>).</t>
    </r>
  </si>
  <si>
    <t>Grain Mill Products</t>
  </si>
  <si>
    <t>204, 20823, 20859 and 20923</t>
  </si>
  <si>
    <t>Flour, prepared feed, cereal preparations, milled rice, wet corn milling products, distillers dried grains with solubles (DDGS), soybean cake, and other milled grains.</t>
  </si>
  <si>
    <t>Grain Mill Products - includes DDG's and Soymeal (note: excludes Ethanol).</t>
  </si>
  <si>
    <t>Food and Kindred Products</t>
  </si>
  <si>
    <t>20, except 204, 20823, 20859 and 20923</t>
  </si>
  <si>
    <t>All food and feed products, except Grain Mill Products (Category No. 7).</t>
  </si>
  <si>
    <t>Food and Kindred - includes Canola Meal, Malt and Soy/Canola Oil.</t>
  </si>
  <si>
    <t>Primary Forest Products</t>
  </si>
  <si>
    <t>Pulpwood logs, pulpwood and other wood chips.</t>
  </si>
  <si>
    <t>Lumber and Wood Products</t>
  </si>
  <si>
    <t>24, except 241</t>
  </si>
  <si>
    <t>All lumber and wood products (excluding furniture) except Primary Forest Products (Category No. 9).</t>
  </si>
  <si>
    <t>Pulp, Paper, and Allied Products</t>
  </si>
  <si>
    <t>Paper, pulp mill products, paperboard or fiberboard, and containers or boxes.</t>
  </si>
  <si>
    <t>Chemicals</t>
  </si>
  <si>
    <t>28 and 49 (where non-hazmat STCC is unknown)</t>
  </si>
  <si>
    <t>Industrial chemicals and gases, alcohols (including ethanol), plastics and resins, fertilizer, and hazardous materials for which the non-hazmat STCC is not known.</t>
  </si>
  <si>
    <t>Petroleum Products</t>
  </si>
  <si>
    <t>13 and 291</t>
  </si>
  <si>
    <r>
      <t xml:space="preserve">Crude petroleum and natural gasoline, and all products of petroleum refining (gasoline, jet or high volatile fuels; distillate fuel oil; lubricating oils; asphalt and tar; liquefied gases; </t>
    </r>
    <r>
      <rPr>
        <i/>
        <sz val="9"/>
        <color indexed="8"/>
        <rFont val="Arial"/>
        <family val="2"/>
      </rPr>
      <t>etc.</t>
    </r>
    <r>
      <rPr>
        <sz val="9"/>
        <color indexed="8"/>
        <rFont val="Arial"/>
        <family val="2"/>
      </rPr>
      <t>).</t>
    </r>
  </si>
  <si>
    <t>Stone, Clay and Glass Products</t>
  </si>
  <si>
    <t>All types of glass products; hydraulic cement; structural clay products; concrete, gypsum or plaster products; and abrasives or asbestos products.</t>
  </si>
  <si>
    <t>29911, 29913 and 29914</t>
  </si>
  <si>
    <t>Coal or coke briquettes, petroleum coke, and coke produced from coal.</t>
  </si>
  <si>
    <t>Metals and Products</t>
  </si>
  <si>
    <t>33 and 34</t>
  </si>
  <si>
    <r>
      <t xml:space="preserve">Primary metal products (iron and steel, aluminum, copper, brass, </t>
    </r>
    <r>
      <rPr>
        <i/>
        <sz val="9"/>
        <color indexed="8"/>
        <rFont val="Arial"/>
        <family val="2"/>
      </rPr>
      <t>etc.</t>
    </r>
    <r>
      <rPr>
        <sz val="9"/>
        <color indexed="8"/>
        <rFont val="Arial"/>
        <family val="2"/>
      </rPr>
      <t xml:space="preserve">), and fabricated metal products (hand tools, cutlery and hardware; structural metal products; metal stampings, </t>
    </r>
    <r>
      <rPr>
        <i/>
        <sz val="9"/>
        <color indexed="8"/>
        <rFont val="Arial"/>
        <family val="2"/>
      </rPr>
      <t>etc.</t>
    </r>
    <r>
      <rPr>
        <sz val="9"/>
        <color indexed="8"/>
        <rFont val="Arial"/>
        <family val="2"/>
      </rPr>
      <t>)</t>
    </r>
  </si>
  <si>
    <t>Motor Vehicles and Equipment</t>
  </si>
  <si>
    <t>371 and 41118</t>
  </si>
  <si>
    <t>Motor vehicles, passenger car bodies, bus or truck bodies, motor vehicle parts and accessories, and used vehicles.</t>
  </si>
  <si>
    <t>Iron and Steel Scrap</t>
  </si>
  <si>
    <t>Iron and steel scrap and waste</t>
  </si>
  <si>
    <t>Waste and Other Scrap</t>
  </si>
  <si>
    <t>40, except 40211, and 48</t>
  </si>
  <si>
    <r>
      <t>All other waste and scrap materials (</t>
    </r>
    <r>
      <rPr>
        <i/>
        <sz val="9"/>
        <color indexed="8"/>
        <rFont val="Arial"/>
        <family val="2"/>
      </rPr>
      <t>i.e.,</t>
    </r>
    <r>
      <rPr>
        <sz val="9"/>
        <color indexed="8"/>
        <rFont val="Arial"/>
        <family val="2"/>
      </rPr>
      <t xml:space="preserve"> except iron and steel scrap), and hazardous wastes.</t>
    </r>
  </si>
  <si>
    <t>All Other Carloads</t>
  </si>
  <si>
    <t>All Other STCCs</t>
  </si>
  <si>
    <t>All other carload traffic not identified above.</t>
  </si>
  <si>
    <t>Intermodal Traffic</t>
  </si>
  <si>
    <t>Containers</t>
  </si>
  <si>
    <t>Any</t>
  </si>
  <si>
    <t>Equipment bearing a reporting mark ending with the letter "U," moving without an undercarriage/chassis.</t>
  </si>
  <si>
    <t>Trailers</t>
  </si>
  <si>
    <r>
      <t>Equipment bearing a reporting mark ending with the letter "Z," with a permanently affixed undercarriage (</t>
    </r>
    <r>
      <rPr>
        <i/>
        <sz val="9"/>
        <color indexed="8"/>
        <rFont val="Arial"/>
        <family val="2"/>
      </rPr>
      <t>i.e.,</t>
    </r>
    <r>
      <rPr>
        <sz val="9"/>
        <color indexed="8"/>
        <rFont val="Arial"/>
        <family val="2"/>
      </rPr>
      <t xml:space="preserve"> trailers) and equipment bearing a reporting mark ending with the letter "U," moving on an undercarriage/chassis (</t>
    </r>
    <r>
      <rPr>
        <i/>
        <sz val="9"/>
        <color indexed="8"/>
        <rFont val="Arial"/>
        <family val="2"/>
      </rPr>
      <t>i.e.,</t>
    </r>
    <r>
      <rPr>
        <sz val="9"/>
        <color indexed="8"/>
        <rFont val="Arial"/>
        <family val="2"/>
      </rPr>
      <t xml:space="preserve"> Containers on Chassis).</t>
    </r>
  </si>
  <si>
    <t>Please note QTD and YTD are now based on the fiscal period and therefore may not add up to weekly AAR numbers.</t>
  </si>
  <si>
    <t>Veuillez noter que le cumul trimestriel (TR-ÀCJ) et le cumul annuel (AÀJ) sont désormais basés sur la période fiscale et, par conséquent, peuvent ne pas correspondre à la somme des chiffres hebdomadaires AAR.</t>
  </si>
  <si>
    <r>
      <t>Revenue Ton-Miles</t>
    </r>
    <r>
      <rPr>
        <sz val="18"/>
        <color rgb="FFFFFFFF"/>
        <rFont val="Calibri"/>
        <family val="2"/>
        <scheme val="minor"/>
      </rPr>
      <t xml:space="preserve"> </t>
    </r>
    <r>
      <rPr>
        <b/>
        <sz val="18"/>
        <color indexed="9"/>
        <rFont val="Calibri"/>
        <family val="2"/>
        <scheme val="minor"/>
      </rPr>
      <t xml:space="preserve"> \ Tonnes-Milles Commerciales </t>
    </r>
    <r>
      <rPr>
        <sz val="18"/>
        <color rgb="FFFFFFFF"/>
        <rFont val="Calibri"/>
        <family val="2"/>
        <scheme val="minor"/>
      </rPr>
      <t>(000 000)</t>
    </r>
  </si>
  <si>
    <t>Var</t>
  </si>
  <si>
    <t>% Var</t>
  </si>
  <si>
    <t>FOREST PRODUCTS \ PRODUITS FORESTIERS</t>
  </si>
  <si>
    <t>20</t>
  </si>
  <si>
    <t>PETRO&amp;CHEMICALS \ PÉTROLE ET PRODUITS CHIMIQUES</t>
  </si>
  <si>
    <t>25</t>
  </si>
  <si>
    <t>METALS&amp;MINERALS \ MÉTAUX ET MINÉRAUX</t>
  </si>
  <si>
    <t>30</t>
  </si>
  <si>
    <t>AUTOMOTIVE \ VÉHICULES AUTOMOBILES</t>
  </si>
  <si>
    <t>50</t>
  </si>
  <si>
    <t>COAL \ CHARBON</t>
  </si>
  <si>
    <t>61</t>
  </si>
  <si>
    <t>GRAIN &amp; FERTS \ PRODUITS CÉRÉALIERS ET ENGRAIS</t>
  </si>
  <si>
    <t>72</t>
  </si>
  <si>
    <t>INTERMODAL \ INTERMODAL</t>
  </si>
  <si>
    <t>Total Revenue Ton Miles \ Total des TMC</t>
  </si>
  <si>
    <t>Total Carloads \ Total Des Wagons Complets</t>
  </si>
  <si>
    <t>Notes \ Remarques:</t>
  </si>
  <si>
    <t>QTD and YTD figures are based on the fiscal period and therefore may not add up to weekly AAR numbers. \ Les chiffres TR-ÀCJ et AÀJ sont basés sur la période fiscale et, par conséquent, peuvent ne pas correspondre à la somme des chiffres hebdomadaires AAR.</t>
  </si>
  <si>
    <t>QTD, YTD, and preliminary figures are subject to change. \ Les chiffres TR-ÀCJ, AÀJ et préliminaires sont sujets à changement.</t>
  </si>
  <si>
    <t>Carload \ wagons complets</t>
  </si>
  <si>
    <t>Carload \ wagons complets TOTAL</t>
  </si>
  <si>
    <t>RTMs in millions \ TMC en millions</t>
  </si>
  <si>
    <t>RTMs \ TMC TOTAL</t>
  </si>
  <si>
    <t>CN 2025 - Carloads by AAR Grouping \
Wagons complets par groupe de l'AAR</t>
  </si>
  <si>
    <t>Week / semaine:</t>
  </si>
  <si>
    <t>Week Starting yy-mm-dd/
semaine commençant aaaa-mm-jj:</t>
  </si>
  <si>
    <t>Forest Products \ Produits forestiers</t>
  </si>
  <si>
    <t>Lumber &amp; Wood Prods \  Bois de construction et produits du bois</t>
  </si>
  <si>
    <t>Primary Forest Prods \ Produits forestiers bruts</t>
  </si>
  <si>
    <t>Pulp &amp; Paper Prods \ Pâtes et papiers</t>
  </si>
  <si>
    <t>Petroleum &amp; Chemicals \ Pétrole et produits chimiques</t>
  </si>
  <si>
    <t>Chemicals \ Produits chimiques</t>
  </si>
  <si>
    <t>Petroleum Prods \ Produits pétroliers</t>
  </si>
  <si>
    <t>Nonmetallic Minerals \ Minéraux non métalliques</t>
  </si>
  <si>
    <t>Metals &amp; Minerals \ Métaux et minéraux</t>
  </si>
  <si>
    <t>Crushed Stone \ Pierre concassée</t>
  </si>
  <si>
    <t>Metal Products \ Produits métalliques</t>
  </si>
  <si>
    <t>Metallic Ores \ Minerais métalliques</t>
  </si>
  <si>
    <t>Stone, Clay, Glass \ Pierre, argile, verre</t>
  </si>
  <si>
    <t>Iron And Steel Scrap \ Ferraille de fer et d'acier</t>
  </si>
  <si>
    <t>Waste And Other Scrap \  Déchets et autres rebuts</t>
  </si>
  <si>
    <t>Other Carloads \ Autres wagons complets</t>
  </si>
  <si>
    <t>Motor Vehicles &amp; Equip \ Véhicules automobiles et matériel</t>
  </si>
  <si>
    <t>MERCHANDISE / MARCHANDISES</t>
  </si>
  <si>
    <t>Coal \ Charbon</t>
  </si>
  <si>
    <t>Coke \ Coke</t>
  </si>
  <si>
    <t>Grain \ Céréales</t>
  </si>
  <si>
    <t>Farm Products \ Produits de la ferme</t>
  </si>
  <si>
    <t>Grain Mill Products \ Produits céréaliers moulus</t>
  </si>
  <si>
    <t>Food &amp; Kindred Products \ Aliments et produits assimilés</t>
  </si>
  <si>
    <t>BULK \ PRODUITS EN VRAC</t>
  </si>
  <si>
    <t>Containers \ Conteneurs</t>
  </si>
  <si>
    <t>Trailers \ Remorques</t>
  </si>
  <si>
    <t>INTERMODAL</t>
  </si>
  <si>
    <t>GRAND TOTAL \ TOTAL</t>
  </si>
  <si>
    <t>Revenue Ton Miles (in millions) \ Tonnes-milles commerciales (en millions)</t>
  </si>
  <si>
    <t>CN 2024 - Carloads by AAR Grouping \
Wagons complets par groupe de l'AAR</t>
  </si>
  <si>
    <t>CN 2023 - Carloads by AAR Grouping \
Wagons complets par groupe de l'AAR</t>
  </si>
  <si>
    <t>CN 2022 - Carloads by AAR Grouping \
Wagons complets par groupe de l'AAR</t>
  </si>
  <si>
    <t>CN 2021 - Carloads by AAR Grouping \
Wagons complets par groupe de l'AAR</t>
  </si>
  <si>
    <t>CN 2020 - Carloads by AAR Grouping \
Wagons complets par groupe de l'AAR</t>
  </si>
  <si>
    <t>Official week to compare to 2019 / 
Semaine officielle à comparer à 2019</t>
  </si>
  <si>
    <t>Compare to week for 2021 / 
Comparer à la semaine pour 2021</t>
  </si>
  <si>
    <t>Week Starting yy-mm-dd/ semaine commençant aaaa-mm-jj:</t>
  </si>
  <si>
    <t>CN 2019 - Carloads by AAR Grouping \
Wagons complets par groupe de l'AAR</t>
  </si>
  <si>
    <t>CN 2018 - Carloads by AAR Grouping \
Wagons complets par groupe de l'AAR</t>
  </si>
  <si>
    <t>CN 2017 - Carloads by AAR Grouping \
Wagons complets par groupe de l'AAR</t>
  </si>
  <si>
    <t>CN 2016 - Carloads by AAR Grouping \
Wagons complets par groupe de l'AAR</t>
  </si>
  <si>
    <t xml:space="preserve">CN 2025 – Business Units Carloads and RTMs by AAR weeks \ Sommaire hebdomadaires des wagons complets et TMC par groupe commercial </t>
  </si>
  <si>
    <t>AAR Week / semaine:</t>
  </si>
  <si>
    <t xml:space="preserve">CN 2024 – Business Units Carloads and RTMs by AAR weeks \ Sommaire hebdomadaires des wagons complets et TMC par groupe commercial </t>
  </si>
  <si>
    <t xml:space="preserve">CN 2023 – Business Units Carloads and RTMs by AAR weeks \ Sommaire hebdomadaires des wagons complets et TMC par groupe commercial </t>
  </si>
  <si>
    <t xml:space="preserve">CN 2022 – Business Units Carloads and RTMs by AAR weeks \ Sommaire hebdomadaires des wagons complets et TMC par groupe commercial </t>
  </si>
  <si>
    <t xml:space="preserve">CN 2021 – Business Units Carloads and RTMs by AAR weeks \ Sommaire hebdomadaires des wagons complets et TMC par groupe commercial </t>
  </si>
  <si>
    <t xml:space="preserve">CN 2020 – Business Units Carloads and RTMs by AAR weeks \ Sommaire hebdomadaires des wagons complets et TMC par groupe commercial </t>
  </si>
  <si>
    <t xml:space="preserve">CN 2019 – Business Units Carloads and RTMs by AAR weeks \ Sommaire hebdomadaires des wagons complets et TMC par groupe commercial </t>
  </si>
  <si>
    <t xml:space="preserve">CN 2018 – Business Units Carloads and RTMs by AAR weeks \ Sommaire hebdomadaires des wagons complets et TMC par groupe commercial </t>
  </si>
  <si>
    <t xml:space="preserve">CN 2017 – Business Units Carloads and RTMs by AAR weeks \ Sommaire hebdomadaires des wagons complets et TMC par groupe commercial </t>
  </si>
  <si>
    <t xml:space="preserve">CN 2016 – Business Units Carloads and RTMs by AAR weeks \ Sommaire hebdomadaires des wagons complets et TMC par groupe commercial </t>
  </si>
  <si>
    <t>Carloads \ Wagons Complets*</t>
  </si>
  <si>
    <t>*Carloads may not tie to MD&amp;A due to rounding. \ Les wagons complets peuvent ne pas correspondre au rapport de gestion en raison de l'arrondissement.</t>
  </si>
  <si>
    <t>CN 2026 - Carloads by AAR Grouping \
Wagons complets par groupe de l'AAR</t>
  </si>
  <si>
    <t xml:space="preserve">CN 2026 – Business Units Carloads and RTMs by AAR weeks \ Sommaire hebdomadaires des wagons complets et TMC par groupe commercial </t>
  </si>
  <si>
    <t>Q4 QTD (2025/10/01 - 2025/12/27)</t>
  </si>
  <si>
    <t>Week \ Semaine 26 (2026/06/28 - 2026/07/04)</t>
  </si>
  <si>
    <t>Week \ Semaine 26</t>
  </si>
  <si>
    <t>Q1 \ TR1</t>
  </si>
  <si>
    <t>Q2 Preliminary \ TR2 Préliminaire</t>
  </si>
  <si>
    <t>YTD \ AÀJ</t>
  </si>
  <si>
    <t>Q3TD \ TR3ÀJ</t>
  </si>
  <si>
    <t>**Q2 is preliminary and subject to change. \ Le T2 est préliminaire et sujet à changement.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</si>
</sst>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_(* #,##0_);_(* \(#,##0\);_(* &quot;-&quot;??_);_(@_)"/>
    <numFmt numFmtId="165" formatCode="0.0%"/>
    <numFmt numFmtId="166" formatCode="0."/>
    <numFmt numFmtId="167" formatCode="0.\ \ \ "/>
    <numFmt numFmtId="168" formatCode="0.0%;\(0.0%\)"/>
  </numFmts>
  <fonts count="35" x14ac:knownFonts="1">
    <font>
      <sz val="10"/>
      <name val="Arial"/>
    </font>
    <font>
      <sz val="11"/>
      <color theme="1"/>
      <name val="Calibri"/>
      <family val="2"/>
      <scheme val="minor"/>
    </font>
    <font>
      <sz val="11"/>
      <color theme="1"/>
      <name val="Calibri"/>
      <family val="2"/>
      <scheme val="minor"/>
    </font>
    <font>
      <sz val="10"/>
      <name val="Arial"/>
      <family val="2"/>
    </font>
    <font>
      <b/>
      <sz val="20"/>
      <name val="Arial"/>
      <family val="2"/>
    </font>
    <font>
      <sz val="10"/>
      <name val="Arial"/>
      <family val="2"/>
    </font>
    <font>
      <sz val="9"/>
      <name val="Arial"/>
      <family val="2"/>
    </font>
    <font>
      <b/>
      <sz val="9"/>
      <name val="Arial"/>
      <family val="2"/>
    </font>
    <font>
      <i/>
      <sz val="9"/>
      <name val="Arial"/>
      <family val="2"/>
    </font>
    <font>
      <sz val="9"/>
      <color indexed="9"/>
      <name val="Arial"/>
      <family val="2"/>
    </font>
    <font>
      <b/>
      <sz val="10"/>
      <name val="Arial"/>
      <family val="2"/>
    </font>
    <font>
      <b/>
      <sz val="8"/>
      <name val="Arial"/>
      <family val="2"/>
    </font>
    <font>
      <sz val="9"/>
      <color indexed="8"/>
      <name val="Arial"/>
      <family val="2"/>
    </font>
    <font>
      <b/>
      <sz val="9"/>
      <color indexed="8"/>
      <name val="Arial"/>
      <family val="2"/>
    </font>
    <font>
      <i/>
      <sz val="9"/>
      <color indexed="8"/>
      <name val="Arial"/>
      <family val="2"/>
    </font>
    <font>
      <b/>
      <sz val="10"/>
      <color indexed="8"/>
      <name val="Arial"/>
      <family val="2"/>
    </font>
    <font>
      <sz val="8"/>
      <name val="Arial"/>
      <family val="2"/>
    </font>
    <font>
      <sz val="11"/>
      <color theme="1"/>
      <name val="Calibri"/>
      <family val="2"/>
      <scheme val="minor"/>
    </font>
    <font>
      <sz val="10"/>
      <color rgb="FF000000"/>
      <name val="Arial"/>
      <family val="2"/>
    </font>
    <font>
      <sz val="8"/>
      <color indexed="9"/>
      <name val="Arial"/>
      <family val="2"/>
    </font>
    <font>
      <sz val="10"/>
      <color indexed="8"/>
      <name val="Arial"/>
      <family val="2"/>
    </font>
    <font>
      <b/>
      <sz val="14"/>
      <color indexed="8"/>
      <name val="Arial"/>
      <family val="2"/>
    </font>
    <font>
      <b/>
      <sz val="14"/>
      <name val="Arial"/>
      <family val="2"/>
    </font>
    <font>
      <b/>
      <sz val="18"/>
      <name val="Arial"/>
      <family val="2"/>
    </font>
    <font>
      <b/>
      <sz val="18"/>
      <color indexed="9"/>
      <name val="Calibri"/>
      <family val="2"/>
      <scheme val="minor"/>
    </font>
    <font>
      <sz val="18"/>
      <color rgb="FFFFFFFF"/>
      <name val="Calibri"/>
      <family val="2"/>
      <scheme val="minor"/>
    </font>
    <font>
      <b/>
      <sz val="14"/>
      <name val="Calibri"/>
      <family val="2"/>
      <scheme val="minor"/>
    </font>
    <font>
      <sz val="11"/>
      <name val="Calibri"/>
      <family val="2"/>
      <scheme val="minor"/>
    </font>
    <font>
      <b/>
      <sz val="11"/>
      <name val="Calibri"/>
      <family val="2"/>
      <scheme val="minor"/>
    </font>
    <font>
      <b/>
      <u/>
      <sz val="11"/>
      <name val="Calibri"/>
      <family val="2"/>
      <scheme val="minor"/>
    </font>
    <font>
      <sz val="10"/>
      <name val="Calibri"/>
      <family val="2"/>
      <scheme val="minor"/>
    </font>
    <font>
      <b/>
      <sz val="10"/>
      <name val="Calibri"/>
      <family val="2"/>
      <scheme val="minor"/>
    </font>
    <font>
      <sz val="14"/>
      <color rgb="FFFF0000"/>
      <name val="Arial"/>
      <family val="2"/>
    </font>
    <font>
      <sz val="12"/>
      <color rgb="FFFF0000"/>
      <name val="Arial"/>
      <family val="2"/>
    </font>
    <font>
      <sz val="12"/>
      <color rgb="FFFF0000"/>
      <name val="Roboto"/>
    </font>
  </fonts>
  <fills count="11">
    <fill>
      <patternFill patternType="none"/>
    </fill>
    <fill>
      <patternFill patternType="gray125"/>
    </fill>
    <fill>
      <patternFill patternType="solid">
        <fgColor indexed="8"/>
        <bgColor indexed="64"/>
      </patternFill>
    </fill>
    <fill>
      <patternFill patternType="solid">
        <fgColor indexed="22"/>
        <bgColor indexed="64"/>
      </patternFill>
    </fill>
    <fill>
      <patternFill patternType="solid">
        <fgColor indexed="44"/>
        <bgColor indexed="64"/>
      </patternFill>
    </fill>
    <fill>
      <patternFill patternType="solid">
        <fgColor indexed="42"/>
        <bgColor indexed="64"/>
      </patternFill>
    </fill>
    <fill>
      <patternFill patternType="solid">
        <fgColor theme="0"/>
        <bgColor indexed="64"/>
      </patternFill>
    </fill>
    <fill>
      <patternFill patternType="solid">
        <fgColor theme="1"/>
        <bgColor indexed="64"/>
      </patternFill>
    </fill>
    <fill>
      <patternFill patternType="solid">
        <fgColor theme="4" tint="0.59999389629810485"/>
        <bgColor indexed="64"/>
      </patternFill>
    </fill>
    <fill>
      <patternFill patternType="solid">
        <fgColor theme="1" tint="0.59999389629810485"/>
        <bgColor indexed="64"/>
      </patternFill>
    </fill>
    <fill>
      <patternFill patternType="solid">
        <fgColor rgb="FFFFFF00"/>
        <bgColor indexed="64"/>
      </patternFill>
    </fill>
  </fills>
  <borders count="10">
    <border>
      <left/>
      <right/>
      <top/>
      <bottom/>
      <diagonal/>
    </border>
    <border>
      <left/>
      <right/>
      <top style="medium">
        <color indexed="64"/>
      </top>
      <bottom style="medium">
        <color indexed="64"/>
      </bottom>
      <diagonal/>
    </border>
    <border>
      <left/>
      <right/>
      <top style="thin">
        <color indexed="64"/>
      </top>
      <bottom style="thin">
        <color indexed="64"/>
      </bottom>
      <diagonal/>
    </border>
    <border>
      <left/>
      <right/>
      <top style="thin">
        <color indexed="64"/>
      </top>
      <bottom style="double">
        <color indexed="64"/>
      </bottom>
      <diagonal/>
    </border>
    <border>
      <left/>
      <right/>
      <top/>
      <bottom style="thin">
        <color indexed="55"/>
      </bottom>
      <diagonal/>
    </border>
    <border>
      <left/>
      <right/>
      <top style="thin">
        <color indexed="55"/>
      </top>
      <bottom style="thin">
        <color indexed="55"/>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bottom style="thin">
        <color auto="1"/>
      </bottom>
      <diagonal/>
    </border>
  </borders>
  <cellStyleXfs count="13">
    <xf numFmtId="0" fontId="0" fillId="0" borderId="0"/>
    <xf numFmtId="43" fontId="3" fillId="0" borderId="0" applyFont="0" applyFill="0" applyBorder="0" applyAlignment="0" applyProtection="0"/>
    <xf numFmtId="43" fontId="17" fillId="0" borderId="0" applyFont="0" applyFill="0" applyBorder="0" applyAlignment="0" applyProtection="0"/>
    <xf numFmtId="0" fontId="17" fillId="0" borderId="0"/>
    <xf numFmtId="0" fontId="12" fillId="0" borderId="0"/>
    <xf numFmtId="9" fontId="3" fillId="0" borderId="0" applyFont="0" applyFill="0" applyBorder="0" applyAlignment="0" applyProtection="0"/>
    <xf numFmtId="9" fontId="17" fillId="0" borderId="0" applyFont="0" applyFill="0" applyBorder="0" applyAlignment="0" applyProtection="0"/>
    <xf numFmtId="0" fontId="3" fillId="0" borderId="0"/>
    <xf numFmtId="0" fontId="18" fillId="0" borderId="0"/>
    <xf numFmtId="9" fontId="2" fillId="0" borderId="0" applyFont="0" applyFill="0" applyBorder="0" applyAlignment="0" applyProtection="0"/>
    <xf numFmtId="0" fontId="2" fillId="0" borderId="0"/>
    <xf numFmtId="0" fontId="1" fillId="0" borderId="0"/>
    <xf numFmtId="43" fontId="3" fillId="0" borderId="0" applyFont="0" applyFill="0" applyBorder="0" applyAlignment="0" applyProtection="0"/>
  </cellStyleXfs>
  <cellXfs count="146">
    <xf numFmtId="0" fontId="0" fillId="0" borderId="0" xfId="0"/>
    <xf numFmtId="0" fontId="5" fillId="0" borderId="0" xfId="0" applyFont="1"/>
    <xf numFmtId="0" fontId="5" fillId="0" borderId="0" xfId="0" applyFont="1" applyAlignment="1">
      <alignment textRotation="75"/>
    </xf>
    <xf numFmtId="164" fontId="5" fillId="0" borderId="0" xfId="1" applyNumberFormat="1" applyFont="1"/>
    <xf numFmtId="0" fontId="6" fillId="0" borderId="0" xfId="0" applyFont="1"/>
    <xf numFmtId="164" fontId="7" fillId="0" borderId="0" xfId="1" applyNumberFormat="1" applyFont="1"/>
    <xf numFmtId="0" fontId="6" fillId="0" borderId="0" xfId="0" applyFont="1" applyAlignment="1">
      <alignment textRotation="75"/>
    </xf>
    <xf numFmtId="0" fontId="8" fillId="0" borderId="0" xfId="0" applyFont="1" applyAlignment="1">
      <alignment horizontal="right"/>
    </xf>
    <xf numFmtId="16" fontId="9" fillId="2" borderId="1" xfId="0" applyNumberFormat="1" applyFont="1" applyFill="1" applyBorder="1" applyAlignment="1">
      <alignment horizontal="center"/>
    </xf>
    <xf numFmtId="0" fontId="7" fillId="0" borderId="0" xfId="0" quotePrefix="1" applyFont="1" applyAlignment="1" applyProtection="1">
      <alignment horizontal="left"/>
      <protection locked="0"/>
    </xf>
    <xf numFmtId="0" fontId="7" fillId="0" borderId="0" xfId="0" applyFont="1"/>
    <xf numFmtId="164" fontId="7" fillId="0" borderId="0" xfId="1" applyNumberFormat="1" applyFont="1" applyProtection="1">
      <protection locked="0"/>
    </xf>
    <xf numFmtId="0" fontId="6" fillId="0" borderId="0" xfId="0" applyFont="1" applyProtection="1">
      <protection locked="0"/>
    </xf>
    <xf numFmtId="164" fontId="6" fillId="0" borderId="0" xfId="1" applyNumberFormat="1" applyFont="1"/>
    <xf numFmtId="0" fontId="6" fillId="0" borderId="0" xfId="0" applyFont="1" applyAlignment="1" applyProtection="1">
      <alignment horizontal="left"/>
      <protection locked="0"/>
    </xf>
    <xf numFmtId="0" fontId="6" fillId="0" borderId="0" xfId="0" quotePrefix="1" applyFont="1" applyAlignment="1" applyProtection="1">
      <alignment horizontal="left"/>
      <protection locked="0"/>
    </xf>
    <xf numFmtId="0" fontId="7" fillId="0" borderId="0" xfId="0" applyFont="1" applyAlignment="1" applyProtection="1">
      <alignment horizontal="left"/>
      <protection locked="0"/>
    </xf>
    <xf numFmtId="0" fontId="8" fillId="0" borderId="0" xfId="0" applyFont="1" applyAlignment="1" applyProtection="1">
      <alignment horizontal="left"/>
      <protection locked="0"/>
    </xf>
    <xf numFmtId="0" fontId="7" fillId="3" borderId="2" xfId="0" quotePrefix="1" applyFont="1" applyFill="1" applyBorder="1" applyAlignment="1" applyProtection="1">
      <alignment horizontal="left"/>
      <protection locked="0"/>
    </xf>
    <xf numFmtId="0" fontId="6" fillId="3" borderId="2" xfId="0" quotePrefix="1" applyFont="1" applyFill="1" applyBorder="1" applyAlignment="1" applyProtection="1">
      <alignment horizontal="left"/>
      <protection locked="0"/>
    </xf>
    <xf numFmtId="164" fontId="7" fillId="3" borderId="2" xfId="1" applyNumberFormat="1" applyFont="1" applyFill="1" applyBorder="1"/>
    <xf numFmtId="0" fontId="7" fillId="3" borderId="3" xfId="0" quotePrefix="1" applyFont="1" applyFill="1" applyBorder="1" applyAlignment="1" applyProtection="1">
      <alignment horizontal="left"/>
      <protection locked="0"/>
    </xf>
    <xf numFmtId="0" fontId="6" fillId="3" borderId="3" xfId="0" quotePrefix="1" applyFont="1" applyFill="1" applyBorder="1" applyAlignment="1" applyProtection="1">
      <alignment horizontal="left"/>
      <protection locked="0"/>
    </xf>
    <xf numFmtId="164" fontId="7" fillId="3" borderId="3" xfId="1" applyNumberFormat="1" applyFont="1" applyFill="1" applyBorder="1"/>
    <xf numFmtId="0" fontId="12" fillId="0" borderId="0" xfId="4" applyAlignment="1">
      <alignment horizontal="centerContinuous"/>
    </xf>
    <xf numFmtId="0" fontId="12" fillId="0" borderId="0" xfId="4"/>
    <xf numFmtId="0" fontId="15" fillId="0" borderId="0" xfId="4" applyFont="1" applyAlignment="1">
      <alignment horizontal="centerContinuous"/>
    </xf>
    <xf numFmtId="0" fontId="13" fillId="4" borderId="2" xfId="4" applyFont="1" applyFill="1" applyBorder="1" applyAlignment="1">
      <alignment horizontal="center" vertical="center"/>
    </xf>
    <xf numFmtId="0" fontId="13" fillId="4" borderId="2" xfId="4" applyFont="1" applyFill="1" applyBorder="1" applyAlignment="1">
      <alignment vertical="center"/>
    </xf>
    <xf numFmtId="0" fontId="13" fillId="3" borderId="0" xfId="4" applyFont="1" applyFill="1" applyAlignment="1">
      <alignment horizontal="centerContinuous" vertical="center"/>
    </xf>
    <xf numFmtId="0" fontId="12" fillId="3" borderId="0" xfId="4" applyFill="1" applyAlignment="1">
      <alignment horizontal="centerContinuous" vertical="center"/>
    </xf>
    <xf numFmtId="166" fontId="12" fillId="0" borderId="4" xfId="4" applyNumberFormat="1" applyBorder="1" applyAlignment="1">
      <alignment vertical="top" wrapText="1"/>
    </xf>
    <xf numFmtId="167" fontId="12" fillId="0" borderId="4" xfId="4" applyNumberFormat="1" applyBorder="1" applyAlignment="1">
      <alignment vertical="top" wrapText="1"/>
    </xf>
    <xf numFmtId="0" fontId="12" fillId="0" borderId="4" xfId="4" applyBorder="1" applyAlignment="1">
      <alignment vertical="top" wrapText="1"/>
    </xf>
    <xf numFmtId="166" fontId="12" fillId="0" borderId="5" xfId="4" applyNumberFormat="1" applyBorder="1" applyAlignment="1">
      <alignment vertical="top" wrapText="1"/>
    </xf>
    <xf numFmtId="167" fontId="12" fillId="0" borderId="5" xfId="4" applyNumberFormat="1" applyBorder="1" applyAlignment="1">
      <alignment vertical="top" wrapText="1"/>
    </xf>
    <xf numFmtId="0" fontId="12" fillId="0" borderId="5" xfId="4" applyBorder="1" applyAlignment="1">
      <alignment vertical="top" wrapText="1"/>
    </xf>
    <xf numFmtId="0" fontId="12" fillId="0" borderId="5" xfId="4" quotePrefix="1" applyBorder="1" applyAlignment="1">
      <alignment vertical="top" wrapText="1"/>
    </xf>
    <xf numFmtId="0" fontId="12" fillId="0" borderId="4" xfId="4" quotePrefix="1" applyBorder="1" applyAlignment="1">
      <alignment vertical="top" wrapText="1"/>
    </xf>
    <xf numFmtId="0" fontId="12" fillId="0" borderId="0" xfId="4" quotePrefix="1"/>
    <xf numFmtId="164" fontId="11" fillId="0" borderId="0" xfId="1" applyNumberFormat="1" applyFont="1"/>
    <xf numFmtId="14" fontId="16" fillId="0" borderId="0" xfId="0" applyNumberFormat="1" applyFont="1"/>
    <xf numFmtId="0" fontId="3" fillId="0" borderId="0" xfId="0" applyFont="1"/>
    <xf numFmtId="164" fontId="3" fillId="0" borderId="0" xfId="1" applyNumberFormat="1" applyFont="1"/>
    <xf numFmtId="165" fontId="3" fillId="0" borderId="0" xfId="5" applyNumberFormat="1" applyFont="1"/>
    <xf numFmtId="0" fontId="3" fillId="0" borderId="0" xfId="0" applyFont="1" applyAlignment="1">
      <alignment textRotation="75"/>
    </xf>
    <xf numFmtId="0" fontId="7" fillId="3" borderId="3" xfId="0" applyFont="1" applyFill="1" applyBorder="1" applyAlignment="1" applyProtection="1">
      <alignment horizontal="left"/>
      <protection locked="0"/>
    </xf>
    <xf numFmtId="0" fontId="3" fillId="0" borderId="0" xfId="7"/>
    <xf numFmtId="0" fontId="3" fillId="0" borderId="0" xfId="7" applyAlignment="1">
      <alignment textRotation="75"/>
    </xf>
    <xf numFmtId="0" fontId="13" fillId="5" borderId="7" xfId="4" applyFont="1" applyFill="1" applyBorder="1" applyAlignment="1">
      <alignment vertical="center"/>
    </xf>
    <xf numFmtId="0" fontId="8" fillId="0" borderId="0" xfId="0" applyFont="1" applyAlignment="1">
      <alignment horizontal="right" wrapText="1"/>
    </xf>
    <xf numFmtId="14" fontId="19" fillId="2" borderId="1" xfId="0" applyNumberFormat="1" applyFont="1" applyFill="1" applyBorder="1" applyAlignment="1">
      <alignment horizontal="center"/>
    </xf>
    <xf numFmtId="0" fontId="16" fillId="0" borderId="0" xfId="0" applyFont="1" applyAlignment="1">
      <alignment textRotation="75"/>
    </xf>
    <xf numFmtId="14" fontId="16" fillId="0" borderId="0" xfId="0" applyNumberFormat="1" applyFont="1" applyAlignment="1">
      <alignment textRotation="75"/>
    </xf>
    <xf numFmtId="0" fontId="16" fillId="0" borderId="0" xfId="7" applyFont="1" applyAlignment="1">
      <alignment textRotation="75"/>
    </xf>
    <xf numFmtId="0" fontId="6" fillId="0" borderId="0" xfId="4" applyFont="1"/>
    <xf numFmtId="0" fontId="10" fillId="0" borderId="0" xfId="4" applyFont="1" applyAlignment="1">
      <alignment horizontal="centerContinuous"/>
    </xf>
    <xf numFmtId="0" fontId="6" fillId="0" borderId="0" xfId="4" applyFont="1" applyAlignment="1">
      <alignment horizontal="centerContinuous"/>
    </xf>
    <xf numFmtId="0" fontId="7" fillId="4" borderId="2" xfId="4" applyFont="1" applyFill="1" applyBorder="1" applyAlignment="1">
      <alignment horizontal="center" vertical="center"/>
    </xf>
    <xf numFmtId="0" fontId="7" fillId="4" borderId="2" xfId="4" applyFont="1" applyFill="1" applyBorder="1" applyAlignment="1">
      <alignment vertical="center"/>
    </xf>
    <xf numFmtId="49" fontId="7" fillId="5" borderId="7" xfId="4" applyNumberFormat="1" applyFont="1" applyFill="1" applyBorder="1" applyAlignment="1">
      <alignment vertical="center"/>
    </xf>
    <xf numFmtId="0" fontId="7" fillId="3" borderId="0" xfId="4" applyFont="1" applyFill="1" applyAlignment="1">
      <alignment horizontal="centerContinuous" vertical="center"/>
    </xf>
    <xf numFmtId="0" fontId="6" fillId="3" borderId="0" xfId="4" applyFont="1" applyFill="1" applyAlignment="1">
      <alignment horizontal="centerContinuous" vertical="center"/>
    </xf>
    <xf numFmtId="166" fontId="6" fillId="0" borderId="4" xfId="4" applyNumberFormat="1" applyFont="1" applyBorder="1" applyAlignment="1">
      <alignment vertical="top" wrapText="1"/>
    </xf>
    <xf numFmtId="167" fontId="6" fillId="0" borderId="4" xfId="4" applyNumberFormat="1" applyFont="1" applyBorder="1" applyAlignment="1">
      <alignment vertical="top" wrapText="1"/>
    </xf>
    <xf numFmtId="0" fontId="6" fillId="0" borderId="4" xfId="4" applyFont="1" applyBorder="1" applyAlignment="1">
      <alignment vertical="top" wrapText="1"/>
    </xf>
    <xf numFmtId="166" fontId="6" fillId="0" borderId="5" xfId="4" applyNumberFormat="1" applyFont="1" applyBorder="1" applyAlignment="1">
      <alignment vertical="top" wrapText="1"/>
    </xf>
    <xf numFmtId="167" fontId="6" fillId="0" borderId="5" xfId="4" applyNumberFormat="1" applyFont="1" applyBorder="1" applyAlignment="1">
      <alignment vertical="top" wrapText="1"/>
    </xf>
    <xf numFmtId="0" fontId="6" fillId="0" borderId="5" xfId="4" applyFont="1" applyBorder="1" applyAlignment="1">
      <alignment vertical="top" wrapText="1"/>
    </xf>
    <xf numFmtId="0" fontId="6" fillId="0" borderId="5" xfId="4" quotePrefix="1" applyFont="1" applyBorder="1" applyAlignment="1">
      <alignment vertical="top" wrapText="1"/>
    </xf>
    <xf numFmtId="0" fontId="7" fillId="3" borderId="0" xfId="4" applyFont="1" applyFill="1" applyAlignment="1">
      <alignment horizontal="center" vertical="center"/>
    </xf>
    <xf numFmtId="0" fontId="6" fillId="0" borderId="4" xfId="4" quotePrefix="1" applyFont="1" applyBorder="1" applyAlignment="1">
      <alignment vertical="top" wrapText="1"/>
    </xf>
    <xf numFmtId="0" fontId="6" fillId="0" borderId="0" xfId="4" quotePrefix="1" applyFont="1"/>
    <xf numFmtId="0" fontId="10" fillId="0" borderId="0" xfId="7" applyFont="1" applyAlignment="1">
      <alignment horizontal="center"/>
    </xf>
    <xf numFmtId="0" fontId="6" fillId="0" borderId="0" xfId="7" quotePrefix="1" applyFont="1" applyAlignment="1" applyProtection="1">
      <alignment horizontal="left"/>
      <protection locked="0"/>
    </xf>
    <xf numFmtId="164" fontId="6" fillId="0" borderId="0" xfId="1" applyNumberFormat="1" applyFont="1" applyProtection="1">
      <protection locked="0"/>
    </xf>
    <xf numFmtId="0" fontId="6" fillId="0" borderId="0" xfId="7" applyFont="1" applyProtection="1">
      <protection locked="0"/>
    </xf>
    <xf numFmtId="0" fontId="6" fillId="0" borderId="0" xfId="7" applyFont="1" applyAlignment="1" applyProtection="1">
      <alignment horizontal="left"/>
      <protection locked="0"/>
    </xf>
    <xf numFmtId="0" fontId="7" fillId="3" borderId="3" xfId="7" applyFont="1" applyFill="1" applyBorder="1" applyAlignment="1" applyProtection="1">
      <alignment horizontal="left"/>
      <protection locked="0"/>
    </xf>
    <xf numFmtId="0" fontId="6" fillId="0" borderId="0" xfId="0" applyFont="1" applyAlignment="1">
      <alignment horizontal="right" wrapText="1"/>
    </xf>
    <xf numFmtId="0" fontId="1" fillId="0" borderId="0" xfId="11"/>
    <xf numFmtId="0" fontId="27" fillId="6" borderId="6" xfId="3" applyFont="1" applyFill="1" applyBorder="1"/>
    <xf numFmtId="10" fontId="28" fillId="6" borderId="6" xfId="12" quotePrefix="1" applyNumberFormat="1" applyFont="1" applyFill="1" applyBorder="1" applyAlignment="1">
      <alignment horizontal="center"/>
    </xf>
    <xf numFmtId="0" fontId="27" fillId="6" borderId="0" xfId="3" applyFont="1" applyFill="1"/>
    <xf numFmtId="10" fontId="28" fillId="6" borderId="6" xfId="12" quotePrefix="1" applyNumberFormat="1" applyFont="1" applyFill="1" applyBorder="1" applyAlignment="1"/>
    <xf numFmtId="0" fontId="29" fillId="6" borderId="0" xfId="3" applyFont="1" applyFill="1" applyAlignment="1">
      <alignment horizontal="center" vertical="top"/>
    </xf>
    <xf numFmtId="0" fontId="28" fillId="6" borderId="9" xfId="3" quotePrefix="1" applyFont="1" applyFill="1" applyBorder="1" applyAlignment="1" applyProtection="1">
      <alignment horizontal="center" vertical="top"/>
      <protection locked="0"/>
    </xf>
    <xf numFmtId="0" fontId="28" fillId="6" borderId="9" xfId="12" applyNumberFormat="1" applyFont="1" applyFill="1" applyBorder="1" applyAlignment="1">
      <alignment horizontal="center" vertical="top"/>
    </xf>
    <xf numFmtId="0" fontId="28" fillId="6" borderId="0" xfId="12" applyNumberFormat="1" applyFont="1" applyFill="1" applyBorder="1" applyAlignment="1">
      <alignment horizontal="center" vertical="top"/>
    </xf>
    <xf numFmtId="164" fontId="28" fillId="6" borderId="0" xfId="3" quotePrefix="1" applyNumberFormat="1" applyFont="1" applyFill="1" applyAlignment="1" applyProtection="1">
      <alignment horizontal="center" vertical="top"/>
      <protection locked="0"/>
    </xf>
    <xf numFmtId="0" fontId="28" fillId="6" borderId="0" xfId="3" quotePrefix="1" applyFont="1" applyFill="1" applyAlignment="1" applyProtection="1">
      <alignment horizontal="center" vertical="top"/>
      <protection locked="0"/>
    </xf>
    <xf numFmtId="0" fontId="27" fillId="6" borderId="0" xfId="3" applyFont="1" applyFill="1" applyAlignment="1">
      <alignment horizontal="left"/>
    </xf>
    <xf numFmtId="164" fontId="27" fillId="6" borderId="0" xfId="3" applyNumberFormat="1" applyFont="1" applyFill="1" applyAlignment="1">
      <alignment horizontal="center"/>
    </xf>
    <xf numFmtId="3" fontId="27" fillId="6" borderId="0" xfId="3" applyNumberFormat="1" applyFont="1" applyFill="1" applyAlignment="1">
      <alignment horizontal="center"/>
    </xf>
    <xf numFmtId="165" fontId="27" fillId="6" borderId="0" xfId="5" applyNumberFormat="1" applyFont="1" applyFill="1" applyAlignment="1">
      <alignment horizontal="center"/>
    </xf>
    <xf numFmtId="164" fontId="27" fillId="6" borderId="0" xfId="12" applyNumberFormat="1" applyFont="1" applyFill="1" applyAlignment="1">
      <alignment horizontal="center"/>
    </xf>
    <xf numFmtId="164" fontId="27" fillId="6" borderId="0" xfId="5" applyNumberFormat="1" applyFont="1" applyFill="1" applyAlignment="1">
      <alignment horizontal="center"/>
    </xf>
    <xf numFmtId="164" fontId="27" fillId="6" borderId="0" xfId="12" applyNumberFormat="1" applyFont="1" applyFill="1"/>
    <xf numFmtId="165" fontId="27" fillId="6" borderId="0" xfId="5" applyNumberFormat="1" applyFont="1" applyFill="1"/>
    <xf numFmtId="164" fontId="27" fillId="6" borderId="0" xfId="6" applyNumberFormat="1" applyFont="1" applyFill="1"/>
    <xf numFmtId="164" fontId="27" fillId="6" borderId="0" xfId="5" applyNumberFormat="1" applyFont="1" applyFill="1"/>
    <xf numFmtId="0" fontId="28" fillId="8" borderId="3" xfId="3" quotePrefix="1" applyFont="1" applyFill="1" applyBorder="1" applyAlignment="1" applyProtection="1">
      <alignment horizontal="left"/>
      <protection locked="0"/>
    </xf>
    <xf numFmtId="164" fontId="28" fillId="9" borderId="3" xfId="3" applyNumberFormat="1" applyFont="1" applyFill="1" applyBorder="1" applyAlignment="1">
      <alignment horizontal="center"/>
    </xf>
    <xf numFmtId="3" fontId="28" fillId="9" borderId="3" xfId="3" applyNumberFormat="1" applyFont="1" applyFill="1" applyBorder="1" applyAlignment="1">
      <alignment horizontal="center"/>
    </xf>
    <xf numFmtId="165" fontId="28" fillId="9" borderId="3" xfId="5" applyNumberFormat="1" applyFont="1" applyFill="1" applyBorder="1" applyAlignment="1">
      <alignment horizontal="center"/>
    </xf>
    <xf numFmtId="164" fontId="28" fillId="9" borderId="3" xfId="6" applyNumberFormat="1" applyFont="1" applyFill="1" applyBorder="1" applyAlignment="1">
      <alignment horizontal="center"/>
    </xf>
    <xf numFmtId="164" fontId="28" fillId="9" borderId="3" xfId="5" applyNumberFormat="1" applyFont="1" applyFill="1" applyBorder="1" applyAlignment="1">
      <alignment horizontal="center"/>
    </xf>
    <xf numFmtId="164" fontId="28" fillId="6" borderId="0" xfId="1" quotePrefix="1" applyNumberFormat="1" applyFont="1" applyFill="1" applyBorder="1" applyAlignment="1" applyProtection="1">
      <alignment horizontal="center" vertical="top"/>
      <protection locked="0"/>
    </xf>
    <xf numFmtId="3" fontId="28" fillId="6" borderId="0" xfId="12" applyNumberFormat="1" applyFont="1" applyFill="1" applyBorder="1" applyAlignment="1">
      <alignment horizontal="center" vertical="top"/>
    </xf>
    <xf numFmtId="165" fontId="28" fillId="6" borderId="0" xfId="5" applyNumberFormat="1" applyFont="1" applyFill="1" applyBorder="1" applyAlignment="1">
      <alignment horizontal="center" vertical="top"/>
    </xf>
    <xf numFmtId="3" fontId="28" fillId="6" borderId="0" xfId="3" quotePrefix="1" applyNumberFormat="1" applyFont="1" applyFill="1" applyAlignment="1" applyProtection="1">
      <alignment horizontal="center" vertical="top"/>
      <protection locked="0"/>
    </xf>
    <xf numFmtId="164" fontId="28" fillId="6" borderId="0" xfId="12" applyNumberFormat="1" applyFont="1" applyFill="1" applyBorder="1" applyAlignment="1">
      <alignment horizontal="center" vertical="top"/>
    </xf>
    <xf numFmtId="164" fontId="27" fillId="6" borderId="0" xfId="3" quotePrefix="1" applyNumberFormat="1" applyFont="1" applyFill="1" applyAlignment="1" applyProtection="1">
      <alignment horizontal="center"/>
      <protection locked="0"/>
    </xf>
    <xf numFmtId="168" fontId="27" fillId="6" borderId="0" xfId="12" applyNumberFormat="1" applyFont="1" applyFill="1" applyAlignment="1">
      <alignment horizontal="right"/>
    </xf>
    <xf numFmtId="3" fontId="30" fillId="6" borderId="0" xfId="3" applyNumberFormat="1" applyFont="1" applyFill="1"/>
    <xf numFmtId="164" fontId="28" fillId="6" borderId="0" xfId="3" quotePrefix="1" applyNumberFormat="1" applyFont="1" applyFill="1" applyAlignment="1" applyProtection="1">
      <alignment horizontal="center"/>
      <protection locked="0"/>
    </xf>
    <xf numFmtId="164" fontId="28" fillId="6" borderId="0" xfId="12" applyNumberFormat="1" applyFont="1" applyFill="1" applyAlignment="1">
      <alignment horizontal="center"/>
    </xf>
    <xf numFmtId="168" fontId="28" fillId="6" borderId="0" xfId="12" applyNumberFormat="1" applyFont="1" applyFill="1" applyAlignment="1">
      <alignment horizontal="center"/>
    </xf>
    <xf numFmtId="0" fontId="28" fillId="6" borderId="0" xfId="3" applyFont="1" applyFill="1" applyAlignment="1">
      <alignment horizontal="center"/>
    </xf>
    <xf numFmtId="0" fontId="27" fillId="6" borderId="0" xfId="3" applyFont="1" applyFill="1" applyAlignment="1" applyProtection="1">
      <alignment horizontal="left"/>
      <protection locked="0"/>
    </xf>
    <xf numFmtId="4" fontId="28" fillId="6" borderId="0" xfId="3" quotePrefix="1" applyNumberFormat="1" applyFont="1" applyFill="1" applyAlignment="1" applyProtection="1">
      <alignment horizontal="center" vertical="top"/>
      <protection locked="0"/>
    </xf>
    <xf numFmtId="0" fontId="31" fillId="6" borderId="0" xfId="3" applyFont="1" applyFill="1"/>
    <xf numFmtId="164" fontId="30" fillId="6" borderId="0" xfId="12" applyNumberFormat="1" applyFont="1" applyFill="1"/>
    <xf numFmtId="168" fontId="30" fillId="6" borderId="0" xfId="12" applyNumberFormat="1" applyFont="1" applyFill="1"/>
    <xf numFmtId="0" fontId="30" fillId="6" borderId="0" xfId="3" applyFont="1" applyFill="1"/>
    <xf numFmtId="0" fontId="16" fillId="0" borderId="0" xfId="0" applyFont="1" applyProtection="1">
      <protection locked="0"/>
    </xf>
    <xf numFmtId="0" fontId="32" fillId="10" borderId="0" xfId="0" applyFont="1" applyFill="1"/>
    <xf numFmtId="0" fontId="33" fillId="10" borderId="0" xfId="0" applyFont="1" applyFill="1"/>
    <xf numFmtId="0" fontId="34" fillId="10" borderId="0" xfId="0" applyFont="1" applyFill="1"/>
    <xf numFmtId="0" fontId="0" fillId="0" borderId="0" xfId="0" applyAlignment="1">
      <alignment horizontal="left"/>
    </xf>
    <xf numFmtId="0" fontId="17" fillId="0" borderId="0" xfId="3"/>
    <xf numFmtId="164" fontId="3" fillId="0" borderId="0" xfId="7" applyNumberFormat="1"/>
    <xf numFmtId="10" fontId="28" fillId="6" borderId="6" xfId="12" quotePrefix="1" applyNumberFormat="1" applyFont="1" applyFill="1" applyBorder="1" applyAlignment="1">
      <alignment horizontal="center"/>
    </xf>
    <xf numFmtId="0" fontId="24" fillId="7" borderId="8" xfId="0" applyFont="1" applyFill="1" applyBorder="1" applyAlignment="1">
      <alignment horizontal="center" vertical="center"/>
    </xf>
    <xf numFmtId="0" fontId="24" fillId="7" borderId="1" xfId="0" applyFont="1" applyFill="1" applyBorder="1" applyAlignment="1">
      <alignment horizontal="center" vertical="center"/>
    </xf>
    <xf numFmtId="0" fontId="26" fillId="6" borderId="1" xfId="3" quotePrefix="1" applyFont="1" applyFill="1" applyBorder="1" applyAlignment="1">
      <alignment horizontal="center" vertical="center"/>
    </xf>
    <xf numFmtId="10" fontId="28" fillId="6" borderId="6" xfId="12" applyNumberFormat="1" applyFont="1" applyFill="1" applyBorder="1" applyAlignment="1">
      <alignment horizontal="center"/>
    </xf>
    <xf numFmtId="0" fontId="26" fillId="0" borderId="1" xfId="3" quotePrefix="1" applyFont="1" applyBorder="1" applyAlignment="1">
      <alignment horizontal="center" vertical="center"/>
    </xf>
    <xf numFmtId="0" fontId="6" fillId="0" borderId="0" xfId="4" applyFont="1" applyAlignment="1">
      <alignment horizontal="left" wrapText="1"/>
    </xf>
    <xf numFmtId="0" fontId="22" fillId="0" borderId="0" xfId="4" applyFont="1" applyAlignment="1">
      <alignment horizontal="center"/>
    </xf>
    <xf numFmtId="0" fontId="20" fillId="0" borderId="0" xfId="4" applyFont="1" applyAlignment="1">
      <alignment horizontal="center" vertical="top" wrapText="1"/>
    </xf>
    <xf numFmtId="0" fontId="20" fillId="0" borderId="0" xfId="4" applyFont="1" applyAlignment="1">
      <alignment horizontal="center" vertical="top"/>
    </xf>
    <xf numFmtId="0" fontId="21" fillId="0" borderId="0" xfId="4" applyFont="1" applyAlignment="1">
      <alignment horizontal="center"/>
    </xf>
    <xf numFmtId="0" fontId="4" fillId="0" borderId="0" xfId="0" quotePrefix="1" applyFont="1" applyAlignment="1">
      <alignment horizontal="left" wrapText="1"/>
    </xf>
    <xf numFmtId="0" fontId="4" fillId="0" borderId="0" xfId="0" quotePrefix="1" applyFont="1" applyAlignment="1">
      <alignment horizontal="left"/>
    </xf>
    <xf numFmtId="0" fontId="23" fillId="0" borderId="0" xfId="7" quotePrefix="1" applyFont="1" applyAlignment="1">
      <alignment horizontal="left"/>
    </xf>
  </cellXfs>
  <cellStyles count="13">
    <cellStyle name="Comma" xfId="1" builtinId="3"/>
    <cellStyle name="Comma 2" xfId="2" xr:uid="{00000000-0005-0000-0000-000001000000}"/>
    <cellStyle name="Comma 2 2" xfId="12" xr:uid="{8AC5C46D-A557-40DD-AEFE-F8D52FC2D87A}"/>
    <cellStyle name="Normal" xfId="0" builtinId="0"/>
    <cellStyle name="Normal 2" xfId="3" xr:uid="{00000000-0005-0000-0000-000003000000}"/>
    <cellStyle name="Normal 2 2" xfId="10" xr:uid="{00000000-0005-0000-0000-000004000000}"/>
    <cellStyle name="Normal 2 3" xfId="11" xr:uid="{088B1588-3FFF-4999-9B24-CF4A7FB33A2D}"/>
    <cellStyle name="Normal 3" xfId="7" xr:uid="{00000000-0005-0000-0000-000005000000}"/>
    <cellStyle name="Normal 4" xfId="8" xr:uid="{00000000-0005-0000-0000-000006000000}"/>
    <cellStyle name="Normal_Xl0000013" xfId="4" xr:uid="{00000000-0005-0000-0000-000007000000}"/>
    <cellStyle name="Percent" xfId="5" builtinId="5"/>
    <cellStyle name="Percent 2" xfId="6" xr:uid="{00000000-0005-0000-0000-000009000000}"/>
    <cellStyle name="Percent 2 2" xfId="9" xr:uid="{00000000-0005-0000-0000-00000A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alcChain" Target="calcChain.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Mtl-hq-f07\HQ10AW2\planning\Reports\AAR\WebSummary\CN-AAR%20WEBSUMMARY%202016-2026-graph%20linkedpv.xlsx" TargetMode="External"/><Relationship Id="rId1" Type="http://schemas.openxmlformats.org/officeDocument/2006/relationships/externalLinkPath" Target="CN-AAR%20WEBSUMMARY%202016-2026-graph%20linkedpv.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roupe de produits AAR - Fr"/>
      <sheetName val="AAR Commodity Grouping - En"/>
      <sheetName val="2016"/>
      <sheetName val="2017"/>
      <sheetName val="2018"/>
      <sheetName val="2019"/>
      <sheetName val="2020"/>
      <sheetName val="2021"/>
      <sheetName val="2022"/>
      <sheetName val="2023"/>
      <sheetName val="2024"/>
      <sheetName val="2025"/>
      <sheetName val="2026"/>
      <sheetName val="GRAPH Carload"/>
      <sheetName val="GRAPH RTMs"/>
      <sheetName val="data2025"/>
      <sheetName val="data2026"/>
      <sheetName val="Weekly review"/>
      <sheetName val="Budget by week"/>
      <sheetName val="vDM PLAN"/>
      <sheetName val="Sheet1"/>
      <sheetName val="Cars - Work Area"/>
      <sheetName val="RTMs - Work Area"/>
      <sheetName val="Rate$ - Work Area"/>
      <sheetName val="C$ - Work Area"/>
      <sheetName val="E RTMs - Work Area"/>
      <sheetName val="W RTMs - Work Area"/>
      <sheetName val="S RTMs - Work Are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A349DB-6669-455E-BD86-D149BDE53C28}">
  <sheetPr codeName="Sheet1">
    <pageSetUpPr fitToPage="1"/>
  </sheetPr>
  <dimension ref="A1:F45"/>
  <sheetViews>
    <sheetView showGridLines="0" workbookViewId="0">
      <selection activeCell="C22" sqref="C22"/>
    </sheetView>
  </sheetViews>
  <sheetFormatPr defaultColWidth="9.28515625" defaultRowHeight="12" x14ac:dyDescent="0.2"/>
  <cols>
    <col min="1" max="1" width="3.7109375" style="55" customWidth="1"/>
    <col min="2" max="2" width="1.42578125" style="55" customWidth="1"/>
    <col min="3" max="3" width="31" style="55" customWidth="1"/>
    <col min="4" max="4" width="26.28515625" style="55" customWidth="1"/>
    <col min="5" max="5" width="52.28515625" style="55" customWidth="1"/>
    <col min="6" max="6" width="34.42578125" style="55" customWidth="1"/>
    <col min="7" max="16384" width="9.28515625" style="55"/>
  </cols>
  <sheetData>
    <row r="1" spans="1:6" ht="18" x14ac:dyDescent="0.25">
      <c r="A1" s="139" t="s">
        <v>0</v>
      </c>
      <c r="B1" s="139"/>
      <c r="C1" s="139"/>
      <c r="D1" s="139"/>
      <c r="E1" s="139"/>
      <c r="F1" s="139"/>
    </row>
    <row r="2" spans="1:6" ht="17.25" customHeight="1" x14ac:dyDescent="0.2">
      <c r="A2" s="56" t="s">
        <v>1</v>
      </c>
      <c r="B2" s="56"/>
      <c r="C2" s="57"/>
      <c r="D2" s="57"/>
      <c r="E2" s="57"/>
    </row>
    <row r="5" spans="1:6" x14ac:dyDescent="0.2">
      <c r="A5" s="138" t="s">
        <v>2</v>
      </c>
      <c r="B5" s="138"/>
      <c r="C5" s="138"/>
      <c r="D5" s="138"/>
      <c r="E5" s="138"/>
      <c r="F5" s="138"/>
    </row>
    <row r="6" spans="1:6" x14ac:dyDescent="0.2">
      <c r="A6" s="138"/>
      <c r="B6" s="138"/>
      <c r="C6" s="138"/>
      <c r="D6" s="138"/>
      <c r="E6" s="138"/>
      <c r="F6" s="138"/>
    </row>
    <row r="7" spans="1:6" x14ac:dyDescent="0.2">
      <c r="A7" s="138"/>
      <c r="B7" s="138"/>
      <c r="C7" s="138"/>
      <c r="D7" s="138"/>
      <c r="E7" s="138"/>
      <c r="F7" s="138"/>
    </row>
    <row r="11" spans="1:6" ht="16.5" customHeight="1" x14ac:dyDescent="0.2">
      <c r="A11" s="58" t="s">
        <v>3</v>
      </c>
      <c r="B11" s="58"/>
      <c r="C11" s="59" t="s">
        <v>4</v>
      </c>
      <c r="D11" s="59" t="s">
        <v>5</v>
      </c>
      <c r="E11" s="59" t="s">
        <v>6</v>
      </c>
      <c r="F11" s="60" t="s">
        <v>7</v>
      </c>
    </row>
    <row r="12" spans="1:6" ht="7.5" customHeight="1" x14ac:dyDescent="0.2"/>
    <row r="13" spans="1:6" x14ac:dyDescent="0.2">
      <c r="A13" s="61" t="s">
        <v>8</v>
      </c>
      <c r="B13" s="61"/>
      <c r="C13" s="62"/>
      <c r="D13" s="62"/>
      <c r="E13" s="62"/>
      <c r="F13" s="62"/>
    </row>
    <row r="15" spans="1:6" ht="36" x14ac:dyDescent="0.2">
      <c r="A15" s="63">
        <v>1</v>
      </c>
      <c r="B15" s="64"/>
      <c r="C15" s="65" t="s">
        <v>9</v>
      </c>
      <c r="D15" s="65" t="s">
        <v>10</v>
      </c>
      <c r="E15" s="65" t="s">
        <v>11</v>
      </c>
      <c r="F15" s="65" t="s">
        <v>12</v>
      </c>
    </row>
    <row r="16" spans="1:6" ht="36" x14ac:dyDescent="0.2">
      <c r="A16" s="66">
        <v>2</v>
      </c>
      <c r="B16" s="67"/>
      <c r="C16" s="68" t="s">
        <v>13</v>
      </c>
      <c r="D16" s="68" t="s">
        <v>14</v>
      </c>
      <c r="E16" s="68" t="s">
        <v>15</v>
      </c>
      <c r="F16" s="68" t="s">
        <v>16</v>
      </c>
    </row>
    <row r="17" spans="1:6" ht="24" x14ac:dyDescent="0.2">
      <c r="A17" s="66">
        <v>3</v>
      </c>
      <c r="B17" s="67"/>
      <c r="C17" s="68" t="s">
        <v>17</v>
      </c>
      <c r="D17" s="69" t="s">
        <v>18</v>
      </c>
      <c r="E17" s="68" t="s">
        <v>19</v>
      </c>
      <c r="F17" s="68"/>
    </row>
    <row r="18" spans="1:6" x14ac:dyDescent="0.2">
      <c r="A18" s="66">
        <v>4</v>
      </c>
      <c r="B18" s="67"/>
      <c r="C18" s="68" t="s">
        <v>20</v>
      </c>
      <c r="D18" s="69" t="s">
        <v>21</v>
      </c>
      <c r="E18" s="68" t="s">
        <v>22</v>
      </c>
      <c r="F18" s="68"/>
    </row>
    <row r="19" spans="1:6" x14ac:dyDescent="0.2">
      <c r="A19" s="66">
        <v>5</v>
      </c>
      <c r="B19" s="67"/>
      <c r="C19" s="68" t="s">
        <v>23</v>
      </c>
      <c r="D19" s="68" t="s">
        <v>24</v>
      </c>
      <c r="E19" s="68" t="s">
        <v>25</v>
      </c>
      <c r="F19" s="68"/>
    </row>
    <row r="20" spans="1:6" ht="36" x14ac:dyDescent="0.2">
      <c r="A20" s="63">
        <v>6</v>
      </c>
      <c r="B20" s="64"/>
      <c r="C20" s="65" t="s">
        <v>26</v>
      </c>
      <c r="D20" s="65" t="s">
        <v>27</v>
      </c>
      <c r="E20" s="65" t="s">
        <v>28</v>
      </c>
      <c r="F20" s="65"/>
    </row>
    <row r="21" spans="1:6" ht="48" x14ac:dyDescent="0.2">
      <c r="A21" s="66">
        <v>7</v>
      </c>
      <c r="B21" s="67"/>
      <c r="C21" s="68" t="s">
        <v>29</v>
      </c>
      <c r="D21" s="69" t="s">
        <v>30</v>
      </c>
      <c r="E21" s="68" t="s">
        <v>31</v>
      </c>
      <c r="F21" s="68" t="s">
        <v>32</v>
      </c>
    </row>
    <row r="22" spans="1:6" ht="36" x14ac:dyDescent="0.2">
      <c r="A22" s="63">
        <v>8</v>
      </c>
      <c r="B22" s="64"/>
      <c r="C22" s="65" t="s">
        <v>33</v>
      </c>
      <c r="D22" s="65" t="s">
        <v>34</v>
      </c>
      <c r="E22" s="65" t="s">
        <v>35</v>
      </c>
      <c r="F22" s="65" t="s">
        <v>36</v>
      </c>
    </row>
    <row r="23" spans="1:6" x14ac:dyDescent="0.2">
      <c r="A23" s="66">
        <v>9</v>
      </c>
      <c r="B23" s="67"/>
      <c r="C23" s="68" t="s">
        <v>37</v>
      </c>
      <c r="D23" s="69" t="s">
        <v>38</v>
      </c>
      <c r="E23" s="68" t="s">
        <v>39</v>
      </c>
      <c r="F23" s="68"/>
    </row>
    <row r="24" spans="1:6" ht="36" x14ac:dyDescent="0.2">
      <c r="A24" s="63">
        <v>10</v>
      </c>
      <c r="B24" s="64"/>
      <c r="C24" s="65" t="s">
        <v>40</v>
      </c>
      <c r="D24" s="65" t="s">
        <v>41</v>
      </c>
      <c r="E24" s="65" t="s">
        <v>42</v>
      </c>
      <c r="F24" s="65"/>
    </row>
    <row r="25" spans="1:6" ht="24" x14ac:dyDescent="0.2">
      <c r="A25" s="63">
        <v>11</v>
      </c>
      <c r="B25" s="64"/>
      <c r="C25" s="65" t="s">
        <v>43</v>
      </c>
      <c r="D25" s="65" t="s">
        <v>44</v>
      </c>
      <c r="E25" s="65" t="s">
        <v>45</v>
      </c>
      <c r="F25" s="65"/>
    </row>
    <row r="26" spans="1:6" ht="48" x14ac:dyDescent="0.2">
      <c r="A26" s="66">
        <v>12</v>
      </c>
      <c r="B26" s="67"/>
      <c r="C26" s="68" t="s">
        <v>46</v>
      </c>
      <c r="D26" s="69" t="s">
        <v>47</v>
      </c>
      <c r="E26" s="68" t="s">
        <v>48</v>
      </c>
      <c r="F26" s="68"/>
    </row>
    <row r="27" spans="1:6" ht="48" x14ac:dyDescent="0.2">
      <c r="A27" s="66">
        <v>13</v>
      </c>
      <c r="B27" s="67"/>
      <c r="C27" s="68" t="s">
        <v>49</v>
      </c>
      <c r="D27" s="69" t="s">
        <v>50</v>
      </c>
      <c r="E27" s="68" t="s">
        <v>51</v>
      </c>
      <c r="F27" s="68"/>
    </row>
    <row r="28" spans="1:6" ht="36" x14ac:dyDescent="0.2">
      <c r="A28" s="66">
        <v>14</v>
      </c>
      <c r="B28" s="67"/>
      <c r="C28" s="68" t="s">
        <v>52</v>
      </c>
      <c r="D28" s="69" t="s">
        <v>53</v>
      </c>
      <c r="E28" s="68" t="s">
        <v>54</v>
      </c>
      <c r="F28" s="68"/>
    </row>
    <row r="29" spans="1:6" ht="24" x14ac:dyDescent="0.2">
      <c r="A29" s="63">
        <v>15</v>
      </c>
      <c r="B29" s="64"/>
      <c r="C29" s="65" t="s">
        <v>55</v>
      </c>
      <c r="D29" s="65" t="s">
        <v>56</v>
      </c>
      <c r="E29" s="65" t="s">
        <v>57</v>
      </c>
      <c r="F29" s="65"/>
    </row>
    <row r="30" spans="1:6" ht="48" x14ac:dyDescent="0.2">
      <c r="A30" s="66">
        <v>16</v>
      </c>
      <c r="B30" s="67"/>
      <c r="C30" s="68" t="s">
        <v>58</v>
      </c>
      <c r="D30" s="69" t="s">
        <v>59</v>
      </c>
      <c r="E30" s="68" t="s">
        <v>60</v>
      </c>
      <c r="F30" s="68"/>
    </row>
    <row r="31" spans="1:6" ht="36" x14ac:dyDescent="0.2">
      <c r="A31" s="63">
        <v>17</v>
      </c>
      <c r="B31" s="64"/>
      <c r="C31" s="65" t="s">
        <v>61</v>
      </c>
      <c r="D31" s="65" t="s">
        <v>62</v>
      </c>
      <c r="E31" s="65" t="s">
        <v>63</v>
      </c>
      <c r="F31" s="65"/>
    </row>
    <row r="32" spans="1:6" x14ac:dyDescent="0.2">
      <c r="A32" s="66">
        <v>18</v>
      </c>
      <c r="B32" s="67"/>
      <c r="C32" s="68" t="s">
        <v>64</v>
      </c>
      <c r="D32" s="68" t="s">
        <v>65</v>
      </c>
      <c r="E32" s="68" t="s">
        <v>66</v>
      </c>
      <c r="F32" s="68"/>
    </row>
    <row r="33" spans="1:6" ht="24" x14ac:dyDescent="0.2">
      <c r="A33" s="63">
        <v>19</v>
      </c>
      <c r="B33" s="64"/>
      <c r="C33" s="65" t="s">
        <v>67</v>
      </c>
      <c r="D33" s="65" t="s">
        <v>68</v>
      </c>
      <c r="E33" s="65" t="s">
        <v>69</v>
      </c>
      <c r="F33" s="65"/>
    </row>
    <row r="34" spans="1:6" x14ac:dyDescent="0.2">
      <c r="A34" s="66">
        <v>20</v>
      </c>
      <c r="B34" s="67"/>
      <c r="C34" s="68" t="s">
        <v>70</v>
      </c>
      <c r="D34" s="68" t="s">
        <v>71</v>
      </c>
      <c r="E34" s="68" t="s">
        <v>72</v>
      </c>
      <c r="F34" s="68"/>
    </row>
    <row r="36" spans="1:6" x14ac:dyDescent="0.2">
      <c r="A36" s="61"/>
      <c r="B36" s="61"/>
      <c r="C36" s="62"/>
      <c r="D36" s="62"/>
      <c r="E36" s="70" t="s">
        <v>73</v>
      </c>
      <c r="F36" s="62"/>
    </row>
    <row r="38" spans="1:6" ht="24" x14ac:dyDescent="0.2">
      <c r="A38" s="63"/>
      <c r="B38" s="64"/>
      <c r="C38" s="65" t="s">
        <v>74</v>
      </c>
      <c r="D38" s="71" t="s">
        <v>75</v>
      </c>
      <c r="E38" s="65" t="s">
        <v>76</v>
      </c>
      <c r="F38" s="65"/>
    </row>
    <row r="39" spans="1:6" ht="61.9" customHeight="1" x14ac:dyDescent="0.2">
      <c r="A39" s="68"/>
      <c r="B39" s="68"/>
      <c r="C39" s="65" t="s">
        <v>77</v>
      </c>
      <c r="D39" s="71" t="s">
        <v>75</v>
      </c>
      <c r="E39" s="68" t="s">
        <v>78</v>
      </c>
      <c r="F39" s="68"/>
    </row>
    <row r="45" spans="1:6" x14ac:dyDescent="0.2">
      <c r="A45" s="72"/>
    </row>
  </sheetData>
  <sheetProtection algorithmName="SHA-512" hashValue="ktpoCiIpY4DXDVa7+0ZSCUqrDGOqxJ6+fIVPr+4y1BXrI/G8zypGszD1jVygddV/l9VCvShOxKbo8FE0sdvPzg==" saltValue="dq2znutgZ+FczcQH1UYlWw==" spinCount="100000" sheet="1" objects="1" scenarios="1"/>
  <mergeCells count="2">
    <mergeCell ref="A5:F7"/>
    <mergeCell ref="A1:F1"/>
  </mergeCells>
  <printOptions horizontalCentered="1"/>
  <pageMargins left="0.75" right="0.75" top="1" bottom="1" header="0.5" footer="0.5"/>
  <pageSetup scale="63"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F45"/>
  <sheetViews>
    <sheetView showGridLines="0" workbookViewId="0">
      <selection activeCell="C22" sqref="C22"/>
    </sheetView>
  </sheetViews>
  <sheetFormatPr defaultColWidth="9.28515625" defaultRowHeight="12" x14ac:dyDescent="0.2"/>
  <cols>
    <col min="1" max="1" width="3.7109375" style="25" customWidth="1"/>
    <col min="2" max="2" width="1.42578125" style="25" customWidth="1"/>
    <col min="3" max="3" width="28.28515625" style="25" customWidth="1"/>
    <col min="4" max="4" width="26.28515625" style="25" customWidth="1"/>
    <col min="5" max="5" width="49.28515625" style="25" customWidth="1"/>
    <col min="6" max="6" width="31" style="25" customWidth="1"/>
    <col min="7" max="16384" width="9.28515625" style="25"/>
  </cols>
  <sheetData>
    <row r="1" spans="1:6" ht="18" x14ac:dyDescent="0.25">
      <c r="A1" s="142" t="s">
        <v>79</v>
      </c>
      <c r="B1" s="142"/>
      <c r="C1" s="142"/>
      <c r="D1" s="142"/>
      <c r="E1" s="142"/>
      <c r="F1" s="142"/>
    </row>
    <row r="2" spans="1:6" ht="17.25" customHeight="1" x14ac:dyDescent="0.2">
      <c r="A2" s="26" t="s">
        <v>80</v>
      </c>
      <c r="B2" s="26"/>
      <c r="C2" s="24"/>
      <c r="D2" s="24"/>
      <c r="E2" s="24"/>
    </row>
    <row r="5" spans="1:6" ht="17.45" customHeight="1" x14ac:dyDescent="0.2">
      <c r="A5" s="140" t="s">
        <v>81</v>
      </c>
      <c r="B5" s="141"/>
      <c r="C5" s="141"/>
      <c r="D5" s="141"/>
      <c r="E5" s="141"/>
      <c r="F5" s="141"/>
    </row>
    <row r="6" spans="1:6" ht="17.45" customHeight="1" x14ac:dyDescent="0.2">
      <c r="A6" s="141"/>
      <c r="B6" s="141"/>
      <c r="C6" s="141"/>
      <c r="D6" s="141"/>
      <c r="E6" s="141"/>
      <c r="F6" s="141"/>
    </row>
    <row r="7" spans="1:6" ht="7.15" customHeight="1" x14ac:dyDescent="0.2">
      <c r="A7" s="141"/>
      <c r="B7" s="141"/>
      <c r="C7" s="141"/>
      <c r="D7" s="141"/>
      <c r="E7" s="141"/>
      <c r="F7" s="141"/>
    </row>
    <row r="11" spans="1:6" ht="16.5" customHeight="1" x14ac:dyDescent="0.2">
      <c r="A11" s="27" t="s">
        <v>3</v>
      </c>
      <c r="B11" s="27"/>
      <c r="C11" s="28" t="s">
        <v>82</v>
      </c>
      <c r="D11" s="28" t="s">
        <v>83</v>
      </c>
      <c r="E11" s="28" t="s">
        <v>84</v>
      </c>
      <c r="F11" s="49" t="s">
        <v>85</v>
      </c>
    </row>
    <row r="12" spans="1:6" ht="7.5" customHeight="1" x14ac:dyDescent="0.2"/>
    <row r="13" spans="1:6" ht="15" customHeight="1" x14ac:dyDescent="0.2">
      <c r="A13" s="29" t="s">
        <v>86</v>
      </c>
      <c r="B13" s="29"/>
      <c r="C13" s="30"/>
      <c r="D13" s="30"/>
      <c r="E13" s="30"/>
      <c r="F13" s="30"/>
    </row>
    <row r="14" spans="1:6" ht="6" customHeight="1" x14ac:dyDescent="0.2"/>
    <row r="15" spans="1:6" ht="27" customHeight="1" x14ac:dyDescent="0.2">
      <c r="A15" s="31">
        <v>1</v>
      </c>
      <c r="B15" s="32"/>
      <c r="C15" s="33" t="s">
        <v>87</v>
      </c>
      <c r="D15" s="33" t="s">
        <v>88</v>
      </c>
      <c r="E15" s="33" t="s">
        <v>89</v>
      </c>
      <c r="F15" s="33" t="s">
        <v>90</v>
      </c>
    </row>
    <row r="16" spans="1:6" ht="24" x14ac:dyDescent="0.2">
      <c r="A16" s="34">
        <v>2</v>
      </c>
      <c r="B16" s="35"/>
      <c r="C16" s="36" t="s">
        <v>91</v>
      </c>
      <c r="D16" s="36" t="s">
        <v>92</v>
      </c>
      <c r="E16" s="36" t="s">
        <v>93</v>
      </c>
      <c r="F16" s="36" t="s">
        <v>94</v>
      </c>
    </row>
    <row r="17" spans="1:6" ht="15" customHeight="1" x14ac:dyDescent="0.2">
      <c r="A17" s="34">
        <v>3</v>
      </c>
      <c r="B17" s="35"/>
      <c r="C17" s="36" t="s">
        <v>95</v>
      </c>
      <c r="D17" s="37" t="s">
        <v>18</v>
      </c>
      <c r="E17" s="36" t="s">
        <v>96</v>
      </c>
      <c r="F17" s="36"/>
    </row>
    <row r="18" spans="1:6" ht="15" customHeight="1" x14ac:dyDescent="0.2">
      <c r="A18" s="34">
        <v>4</v>
      </c>
      <c r="B18" s="35"/>
      <c r="C18" s="36" t="s">
        <v>97</v>
      </c>
      <c r="D18" s="37" t="s">
        <v>21</v>
      </c>
      <c r="E18" s="36" t="s">
        <v>98</v>
      </c>
      <c r="F18" s="36"/>
    </row>
    <row r="19" spans="1:6" ht="15" customHeight="1" x14ac:dyDescent="0.2">
      <c r="A19" s="34">
        <v>5</v>
      </c>
      <c r="B19" s="35"/>
      <c r="C19" s="36" t="s">
        <v>99</v>
      </c>
      <c r="D19" s="36" t="s">
        <v>100</v>
      </c>
      <c r="E19" s="36" t="s">
        <v>101</v>
      </c>
      <c r="F19" s="36"/>
    </row>
    <row r="20" spans="1:6" ht="27" customHeight="1" x14ac:dyDescent="0.2">
      <c r="A20" s="31">
        <v>6</v>
      </c>
      <c r="B20" s="32"/>
      <c r="C20" s="33" t="s">
        <v>102</v>
      </c>
      <c r="D20" s="33" t="s">
        <v>103</v>
      </c>
      <c r="E20" s="33" t="s">
        <v>104</v>
      </c>
      <c r="F20" s="33"/>
    </row>
    <row r="21" spans="1:6" ht="39" customHeight="1" x14ac:dyDescent="0.2">
      <c r="A21" s="34">
        <v>7</v>
      </c>
      <c r="B21" s="35"/>
      <c r="C21" s="36" t="s">
        <v>105</v>
      </c>
      <c r="D21" s="37" t="s">
        <v>106</v>
      </c>
      <c r="E21" s="36" t="s">
        <v>107</v>
      </c>
      <c r="F21" s="36" t="s">
        <v>108</v>
      </c>
    </row>
    <row r="22" spans="1:6" ht="27" customHeight="1" x14ac:dyDescent="0.2">
      <c r="A22" s="31">
        <v>8</v>
      </c>
      <c r="B22" s="32"/>
      <c r="C22" s="33" t="s">
        <v>109</v>
      </c>
      <c r="D22" s="33" t="s">
        <v>110</v>
      </c>
      <c r="E22" s="33" t="s">
        <v>111</v>
      </c>
      <c r="F22" s="33" t="s">
        <v>112</v>
      </c>
    </row>
    <row r="23" spans="1:6" x14ac:dyDescent="0.2">
      <c r="A23" s="34">
        <v>9</v>
      </c>
      <c r="B23" s="35"/>
      <c r="C23" s="36" t="s">
        <v>113</v>
      </c>
      <c r="D23" s="37" t="s">
        <v>38</v>
      </c>
      <c r="E23" s="36" t="s">
        <v>114</v>
      </c>
      <c r="F23" s="36"/>
    </row>
    <row r="24" spans="1:6" ht="27" customHeight="1" x14ac:dyDescent="0.2">
      <c r="A24" s="31">
        <v>10</v>
      </c>
      <c r="B24" s="32"/>
      <c r="C24" s="33" t="s">
        <v>115</v>
      </c>
      <c r="D24" s="33" t="s">
        <v>116</v>
      </c>
      <c r="E24" s="33" t="s">
        <v>117</v>
      </c>
      <c r="F24" s="33"/>
    </row>
    <row r="25" spans="1:6" ht="27" customHeight="1" x14ac:dyDescent="0.2">
      <c r="A25" s="31">
        <v>11</v>
      </c>
      <c r="B25" s="32"/>
      <c r="C25" s="33" t="s">
        <v>118</v>
      </c>
      <c r="D25" s="33" t="s">
        <v>44</v>
      </c>
      <c r="E25" s="33" t="s">
        <v>119</v>
      </c>
      <c r="F25" s="33"/>
    </row>
    <row r="26" spans="1:6" ht="39" customHeight="1" x14ac:dyDescent="0.2">
      <c r="A26" s="34">
        <v>12</v>
      </c>
      <c r="B26" s="35"/>
      <c r="C26" s="36" t="s">
        <v>120</v>
      </c>
      <c r="D26" s="37" t="s">
        <v>121</v>
      </c>
      <c r="E26" s="36" t="s">
        <v>122</v>
      </c>
      <c r="F26" s="36"/>
    </row>
    <row r="27" spans="1:6" ht="51" customHeight="1" x14ac:dyDescent="0.2">
      <c r="A27" s="34">
        <v>13</v>
      </c>
      <c r="B27" s="35"/>
      <c r="C27" s="36" t="s">
        <v>123</v>
      </c>
      <c r="D27" s="37" t="s">
        <v>124</v>
      </c>
      <c r="E27" s="36" t="s">
        <v>125</v>
      </c>
      <c r="F27" s="36"/>
    </row>
    <row r="28" spans="1:6" ht="39" customHeight="1" x14ac:dyDescent="0.2">
      <c r="A28" s="34">
        <v>14</v>
      </c>
      <c r="B28" s="35"/>
      <c r="C28" s="36" t="s">
        <v>126</v>
      </c>
      <c r="D28" s="37" t="s">
        <v>53</v>
      </c>
      <c r="E28" s="36" t="s">
        <v>127</v>
      </c>
      <c r="F28" s="36"/>
    </row>
    <row r="29" spans="1:6" ht="27" customHeight="1" x14ac:dyDescent="0.2">
      <c r="A29" s="31">
        <v>15</v>
      </c>
      <c r="B29" s="32"/>
      <c r="C29" s="33" t="s">
        <v>55</v>
      </c>
      <c r="D29" s="33" t="s">
        <v>128</v>
      </c>
      <c r="E29" s="33" t="s">
        <v>129</v>
      </c>
      <c r="F29" s="33"/>
    </row>
    <row r="30" spans="1:6" ht="51" customHeight="1" x14ac:dyDescent="0.2">
      <c r="A30" s="34">
        <v>16</v>
      </c>
      <c r="B30" s="35"/>
      <c r="C30" s="36" t="s">
        <v>130</v>
      </c>
      <c r="D30" s="37" t="s">
        <v>131</v>
      </c>
      <c r="E30" s="36" t="s">
        <v>132</v>
      </c>
      <c r="F30" s="36"/>
    </row>
    <row r="31" spans="1:6" ht="27" customHeight="1" x14ac:dyDescent="0.2">
      <c r="A31" s="31">
        <v>17</v>
      </c>
      <c r="B31" s="32"/>
      <c r="C31" s="33" t="s">
        <v>133</v>
      </c>
      <c r="D31" s="33" t="s">
        <v>134</v>
      </c>
      <c r="E31" s="33" t="s">
        <v>135</v>
      </c>
      <c r="F31" s="33"/>
    </row>
    <row r="32" spans="1:6" ht="15" customHeight="1" x14ac:dyDescent="0.2">
      <c r="A32" s="34">
        <v>18</v>
      </c>
      <c r="B32" s="35"/>
      <c r="C32" s="36" t="s">
        <v>136</v>
      </c>
      <c r="D32" s="36" t="s">
        <v>65</v>
      </c>
      <c r="E32" s="36" t="s">
        <v>137</v>
      </c>
      <c r="F32" s="36"/>
    </row>
    <row r="33" spans="1:6" ht="27" customHeight="1" x14ac:dyDescent="0.2">
      <c r="A33" s="31">
        <v>19</v>
      </c>
      <c r="B33" s="32"/>
      <c r="C33" s="33" t="s">
        <v>138</v>
      </c>
      <c r="D33" s="33" t="s">
        <v>139</v>
      </c>
      <c r="E33" s="33" t="s">
        <v>140</v>
      </c>
      <c r="F33" s="33"/>
    </row>
    <row r="34" spans="1:6" ht="15" customHeight="1" x14ac:dyDescent="0.2">
      <c r="A34" s="34">
        <v>20</v>
      </c>
      <c r="B34" s="35"/>
      <c r="C34" s="36" t="s">
        <v>141</v>
      </c>
      <c r="D34" s="36" t="s">
        <v>142</v>
      </c>
      <c r="E34" s="36" t="s">
        <v>143</v>
      </c>
      <c r="F34" s="36"/>
    </row>
    <row r="35" spans="1:6" ht="4.5" customHeight="1" x14ac:dyDescent="0.2"/>
    <row r="36" spans="1:6" ht="15" customHeight="1" x14ac:dyDescent="0.2">
      <c r="A36" s="29" t="s">
        <v>144</v>
      </c>
      <c r="B36" s="29"/>
      <c r="C36" s="30"/>
      <c r="D36" s="30"/>
      <c r="E36" s="30"/>
      <c r="F36" s="30"/>
    </row>
    <row r="37" spans="1:6" ht="6" customHeight="1" x14ac:dyDescent="0.2"/>
    <row r="38" spans="1:6" ht="27" customHeight="1" x14ac:dyDescent="0.2">
      <c r="A38" s="31"/>
      <c r="B38" s="32"/>
      <c r="C38" s="33" t="s">
        <v>145</v>
      </c>
      <c r="D38" s="38" t="s">
        <v>146</v>
      </c>
      <c r="E38" s="33" t="s">
        <v>147</v>
      </c>
      <c r="F38" s="33"/>
    </row>
    <row r="39" spans="1:6" ht="63" customHeight="1" x14ac:dyDescent="0.2">
      <c r="A39" s="36"/>
      <c r="B39" s="36"/>
      <c r="C39" s="36" t="s">
        <v>148</v>
      </c>
      <c r="D39" s="36" t="s">
        <v>146</v>
      </c>
      <c r="E39" s="36" t="s">
        <v>149</v>
      </c>
      <c r="F39" s="36"/>
    </row>
    <row r="45" spans="1:6" x14ac:dyDescent="0.2">
      <c r="A45" s="39"/>
    </row>
  </sheetData>
  <sheetProtection algorithmName="SHA-512" hashValue="ekJBoalYf0YSR8Oj6TtEnRmhzwJnvSjaJFFdHHi62Y5hYmZqjQM71J8LZHIEuqnxBJniFy3FyHIARVjNWvpJHw==" saltValue="vqaxwwfeKL8QQE+jE+Rrow==" spinCount="100000" sheet="1" objects="1" scenarios="1"/>
  <mergeCells count="2">
    <mergeCell ref="A5:F7"/>
    <mergeCell ref="A1:F1"/>
  </mergeCells>
  <phoneticPr fontId="0" type="noConversion"/>
  <printOptions horizontalCentered="1"/>
  <pageMargins left="0.75" right="0.75" top="1" bottom="1" header="0.5" footer="0.5"/>
  <pageSetup scale="65"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13C66-40E8-49F6-969B-F1BB9F7146BA}">
  <sheetPr codeName="Sheet3">
    <tabColor rgb="FF92D050"/>
  </sheetPr>
  <dimension ref="A1:AF41"/>
  <sheetViews>
    <sheetView showGridLines="0" tabSelected="1" topLeftCell="B1" zoomScaleNormal="100" workbookViewId="0">
      <selection activeCell="B1" sqref="B1"/>
    </sheetView>
  </sheetViews>
  <sheetFormatPr defaultRowHeight="12.75" x14ac:dyDescent="0.2"/>
  <cols>
    <col min="1" max="1" width="8.140625" hidden="1" customWidth="1"/>
    <col min="2" max="2" width="2.5703125" customWidth="1"/>
    <col min="3" max="3" width="66.28515625" customWidth="1"/>
    <col min="4" max="7" width="10.5703125" customWidth="1"/>
    <col min="8" max="8" width="13.7109375" customWidth="1"/>
    <col min="9" max="12" width="10.5703125" customWidth="1"/>
    <col min="13" max="13" width="13.7109375" customWidth="1"/>
    <col min="14" max="17" width="10.5703125" customWidth="1"/>
    <col min="18" max="18" width="13.7109375" customWidth="1"/>
    <col min="19" max="22" width="10.5703125" customWidth="1"/>
    <col min="23" max="23" width="9.140625" customWidth="1"/>
    <col min="24" max="24" width="14.5703125" hidden="1" customWidth="1"/>
    <col min="25" max="25" width="9" hidden="1" customWidth="1"/>
    <col min="26" max="26" width="8.7109375" hidden="1" customWidth="1"/>
    <col min="27" max="27" width="14.85546875" hidden="1" customWidth="1"/>
    <col min="28" max="28" width="9.140625" hidden="1" customWidth="1"/>
    <col min="29" max="30" width="10.5703125" bestFit="1" customWidth="1"/>
    <col min="31" max="31" width="8.7109375" bestFit="1" customWidth="1"/>
    <col min="32" max="32" width="10.7109375" bestFit="1" customWidth="1"/>
  </cols>
  <sheetData>
    <row r="1" spans="1:32" ht="25.5" customHeight="1" x14ac:dyDescent="0.2"/>
    <row r="2" spans="1:32" ht="36.75" customHeight="1" x14ac:dyDescent="0.2">
      <c r="C2" s="129" t="e" vm="1">
        <v>#VALUE!</v>
      </c>
    </row>
    <row r="3" spans="1:32" ht="18" x14ac:dyDescent="0.25">
      <c r="C3" s="127" t="s">
        <v>150</v>
      </c>
      <c r="D3" s="126"/>
      <c r="E3" s="126"/>
      <c r="F3" s="126"/>
      <c r="G3" s="126"/>
      <c r="H3" s="126"/>
      <c r="I3" s="126"/>
      <c r="J3" s="126"/>
      <c r="K3" s="126"/>
      <c r="L3" s="126"/>
      <c r="M3" s="126"/>
      <c r="N3" s="126"/>
      <c r="O3" s="126"/>
      <c r="P3" s="126"/>
      <c r="Q3" s="126"/>
      <c r="R3" s="126"/>
      <c r="S3" s="126"/>
      <c r="T3" s="126"/>
    </row>
    <row r="4" spans="1:32" ht="18" x14ac:dyDescent="0.25">
      <c r="C4" s="128" t="s">
        <v>151</v>
      </c>
      <c r="D4" s="126"/>
      <c r="E4" s="126"/>
      <c r="F4" s="126"/>
      <c r="G4" s="126"/>
      <c r="H4" s="126"/>
      <c r="I4" s="126"/>
      <c r="J4" s="126"/>
      <c r="K4" s="126"/>
      <c r="L4" s="126"/>
      <c r="M4" s="126"/>
      <c r="N4" s="126"/>
      <c r="O4" s="126"/>
      <c r="P4" s="126"/>
      <c r="Q4" s="126"/>
      <c r="R4" s="126"/>
      <c r="S4" s="126"/>
      <c r="T4" s="126"/>
    </row>
    <row r="5" spans="1:32" ht="13.5" thickBot="1" x14ac:dyDescent="0.25"/>
    <row r="6" spans="1:32" ht="24" thickBot="1" x14ac:dyDescent="0.25">
      <c r="C6" s="133" t="s">
        <v>152</v>
      </c>
      <c r="D6" s="134"/>
      <c r="E6" s="134"/>
      <c r="F6" s="134"/>
      <c r="G6" s="134"/>
      <c r="H6" s="134"/>
      <c r="I6" s="134"/>
      <c r="J6" s="134"/>
      <c r="K6" s="134"/>
      <c r="L6" s="134"/>
      <c r="M6" s="134"/>
      <c r="N6" s="134"/>
      <c r="O6" s="134"/>
      <c r="P6" s="134"/>
      <c r="Q6" s="134"/>
      <c r="R6" s="134"/>
      <c r="S6" s="134"/>
      <c r="T6" s="134"/>
      <c r="U6" s="134"/>
      <c r="V6" s="134"/>
      <c r="W6" s="134"/>
      <c r="X6" s="134"/>
      <c r="Y6" s="134"/>
      <c r="Z6" s="134"/>
      <c r="AA6" s="134"/>
      <c r="AB6" s="134"/>
      <c r="AC6" s="134"/>
      <c r="AD6" s="134"/>
      <c r="AE6" s="134"/>
      <c r="AF6" s="134"/>
    </row>
    <row r="7" spans="1:32" ht="19.5" thickBot="1" x14ac:dyDescent="0.25">
      <c r="C7" s="135" t="s">
        <v>238</v>
      </c>
      <c r="D7" s="135"/>
      <c r="E7" s="135"/>
      <c r="F7" s="135"/>
      <c r="G7" s="135"/>
      <c r="H7" s="135"/>
      <c r="I7" s="135"/>
      <c r="J7" s="135"/>
      <c r="K7" s="135"/>
      <c r="L7" s="135"/>
      <c r="M7" s="135"/>
      <c r="N7" s="135"/>
      <c r="O7" s="135"/>
      <c r="P7" s="135"/>
      <c r="Q7" s="135"/>
      <c r="R7" s="135"/>
      <c r="S7" s="135"/>
      <c r="T7" s="135"/>
      <c r="U7" s="135"/>
      <c r="V7" s="135"/>
      <c r="W7" s="135"/>
      <c r="X7" s="135"/>
      <c r="Y7" s="135"/>
      <c r="Z7" s="135"/>
      <c r="AA7" s="135"/>
      <c r="AB7" s="135"/>
      <c r="AC7" s="135"/>
      <c r="AD7" s="135"/>
      <c r="AE7" s="135"/>
      <c r="AF7" s="135"/>
    </row>
    <row r="8" spans="1:32" ht="15" x14ac:dyDescent="0.25">
      <c r="C8" s="81"/>
      <c r="D8" s="132" t="s">
        <v>239</v>
      </c>
      <c r="E8" s="132"/>
      <c r="F8" s="132"/>
      <c r="G8" s="132"/>
      <c r="H8" s="82"/>
      <c r="I8" s="132" t="s">
        <v>240</v>
      </c>
      <c r="J8" s="132"/>
      <c r="K8" s="132"/>
      <c r="L8" s="132"/>
      <c r="M8" s="83"/>
      <c r="N8" s="132" t="s">
        <v>241</v>
      </c>
      <c r="O8" s="132"/>
      <c r="P8" s="132"/>
      <c r="Q8" s="132"/>
      <c r="R8" s="132"/>
      <c r="S8" s="132" t="s">
        <v>243</v>
      </c>
      <c r="T8" s="132"/>
      <c r="U8" s="132"/>
      <c r="V8" s="132"/>
      <c r="W8" s="84"/>
      <c r="X8" s="132" t="s">
        <v>237</v>
      </c>
      <c r="Y8" s="132"/>
      <c r="Z8" s="132"/>
      <c r="AA8" s="132"/>
      <c r="AB8" s="82"/>
      <c r="AC8" s="136" t="s">
        <v>242</v>
      </c>
      <c r="AD8" s="136"/>
      <c r="AE8" s="136"/>
      <c r="AF8" s="136"/>
    </row>
    <row r="9" spans="1:32" ht="15" x14ac:dyDescent="0.2">
      <c r="C9" s="85"/>
      <c r="D9" s="86">
        <v>2026</v>
      </c>
      <c r="E9" s="86">
        <v>2025</v>
      </c>
      <c r="F9" s="87" t="s">
        <v>153</v>
      </c>
      <c r="G9" s="87" t="s">
        <v>154</v>
      </c>
      <c r="H9" s="88"/>
      <c r="I9" s="86">
        <v>2026</v>
      </c>
      <c r="J9" s="86">
        <v>2025</v>
      </c>
      <c r="K9" s="87" t="s">
        <v>153</v>
      </c>
      <c r="L9" s="87" t="s">
        <v>154</v>
      </c>
      <c r="M9" s="88"/>
      <c r="N9" s="86">
        <v>2026</v>
      </c>
      <c r="O9" s="86">
        <v>2025</v>
      </c>
      <c r="P9" s="87" t="s">
        <v>153</v>
      </c>
      <c r="Q9" s="87" t="s">
        <v>154</v>
      </c>
      <c r="R9" s="87"/>
      <c r="S9" s="86">
        <v>2026</v>
      </c>
      <c r="T9" s="86">
        <v>2025</v>
      </c>
      <c r="U9" s="87" t="s">
        <v>153</v>
      </c>
      <c r="V9" s="87" t="s">
        <v>154</v>
      </c>
      <c r="W9" s="87"/>
      <c r="X9" s="86">
        <v>2025</v>
      </c>
      <c r="Y9" s="86">
        <v>2024</v>
      </c>
      <c r="Z9" s="87" t="s">
        <v>153</v>
      </c>
      <c r="AA9" s="87" t="s">
        <v>154</v>
      </c>
      <c r="AB9" s="87"/>
      <c r="AC9" s="86">
        <v>2026</v>
      </c>
      <c r="AD9" s="86">
        <v>2025</v>
      </c>
      <c r="AE9" s="87" t="s">
        <v>153</v>
      </c>
      <c r="AF9" s="87" t="s">
        <v>154</v>
      </c>
    </row>
    <row r="10" spans="1:32" ht="15" x14ac:dyDescent="0.2">
      <c r="C10" s="85"/>
      <c r="D10" s="89"/>
      <c r="E10" s="90"/>
      <c r="F10" s="88"/>
      <c r="G10" s="88"/>
      <c r="H10" s="88"/>
      <c r="I10" s="90"/>
      <c r="J10" s="90"/>
      <c r="K10" s="88"/>
      <c r="L10" s="88"/>
      <c r="M10" s="88"/>
      <c r="N10" s="88"/>
      <c r="O10" s="88"/>
      <c r="P10" s="88"/>
      <c r="Q10" s="88"/>
      <c r="R10" s="88"/>
      <c r="S10" s="88"/>
      <c r="T10" s="88"/>
      <c r="U10" s="88"/>
      <c r="V10" s="88"/>
      <c r="W10" s="88"/>
      <c r="X10" s="88"/>
      <c r="Y10" s="88"/>
      <c r="Z10" s="88"/>
      <c r="AA10" s="88"/>
      <c r="AB10" s="88"/>
      <c r="AC10" s="90"/>
      <c r="AD10" s="90"/>
      <c r="AE10" s="88"/>
      <c r="AF10" s="88"/>
    </row>
    <row r="11" spans="1:32" ht="15" x14ac:dyDescent="0.25">
      <c r="A11" s="125" t="s">
        <v>18</v>
      </c>
      <c r="B11" s="125"/>
      <c r="C11" s="91" t="s">
        <v>155</v>
      </c>
      <c r="D11" s="92">
        <v>354.352891</v>
      </c>
      <c r="E11" s="92">
        <v>355.93714399999999</v>
      </c>
      <c r="F11" s="93">
        <v>-1.5842529999999897</v>
      </c>
      <c r="G11" s="94">
        <v>-4.4509347414440903E-3</v>
      </c>
      <c r="H11" s="95"/>
      <c r="I11" s="92">
        <v>4912.0763390000002</v>
      </c>
      <c r="J11" s="92">
        <v>5386.9540429999997</v>
      </c>
      <c r="K11" s="93">
        <v>-474.87770399999954</v>
      </c>
      <c r="L11" s="94">
        <v>-8.8153286664302E-2</v>
      </c>
      <c r="M11" s="96"/>
      <c r="N11" s="92">
        <v>5215.7718530000002</v>
      </c>
      <c r="O11" s="92">
        <v>5113.170889</v>
      </c>
      <c r="P11" s="93">
        <v>102.6009640000002</v>
      </c>
      <c r="Q11" s="94">
        <v>2.0066015047673469E-2</v>
      </c>
      <c r="S11" s="95">
        <v>194.53287499999999</v>
      </c>
      <c r="T11" s="92">
        <v>255.96920700000001</v>
      </c>
      <c r="U11" s="93">
        <v>-61.436332000000021</v>
      </c>
      <c r="V11" s="94">
        <v>-0.24001454206169426</v>
      </c>
      <c r="W11" s="95"/>
      <c r="X11" s="92"/>
      <c r="Y11" s="92"/>
      <c r="Z11" s="93"/>
      <c r="AA11" s="94"/>
      <c r="AB11" s="95"/>
      <c r="AC11" s="92">
        <v>10322.381067000002</v>
      </c>
      <c r="AD11" s="92">
        <v>10756.094138999999</v>
      </c>
      <c r="AE11" s="93">
        <v>-433.71307199999683</v>
      </c>
      <c r="AF11" s="94">
        <v>-4.0322543331730243E-2</v>
      </c>
    </row>
    <row r="12" spans="1:32" ht="15" x14ac:dyDescent="0.25">
      <c r="A12" s="125" t="s">
        <v>156</v>
      </c>
      <c r="B12" s="125"/>
      <c r="C12" s="91" t="s">
        <v>157</v>
      </c>
      <c r="D12" s="92">
        <v>884.75039600000002</v>
      </c>
      <c r="E12" s="92">
        <v>841.34916799999996</v>
      </c>
      <c r="F12" s="93">
        <v>43.40122800000006</v>
      </c>
      <c r="G12" s="94">
        <v>5.1585274759551547E-2</v>
      </c>
      <c r="H12" s="95"/>
      <c r="I12" s="92">
        <v>12684.413811</v>
      </c>
      <c r="J12" s="92">
        <v>11835.778188</v>
      </c>
      <c r="K12" s="93">
        <v>848.63562300000012</v>
      </c>
      <c r="L12" s="94">
        <v>7.1700872517230119E-2</v>
      </c>
      <c r="M12" s="96"/>
      <c r="N12" s="92">
        <v>11873.567717</v>
      </c>
      <c r="O12" s="92">
        <v>10740.638229</v>
      </c>
      <c r="P12" s="93">
        <v>1132.9294879999998</v>
      </c>
      <c r="Q12" s="94">
        <v>0.10548064871425056</v>
      </c>
      <c r="R12" s="95"/>
      <c r="S12" s="95">
        <v>506.602935</v>
      </c>
      <c r="T12" s="92">
        <v>460.95085699999998</v>
      </c>
      <c r="U12" s="93">
        <v>45.652078000000017</v>
      </c>
      <c r="V12" s="94">
        <v>9.9038926399045657E-2</v>
      </c>
      <c r="W12" s="95"/>
      <c r="X12" s="92"/>
      <c r="Y12" s="92"/>
      <c r="Z12" s="93"/>
      <c r="AA12" s="94"/>
      <c r="AB12" s="95"/>
      <c r="AC12" s="92">
        <v>25064.584462999999</v>
      </c>
      <c r="AD12" s="92">
        <v>23037.367274</v>
      </c>
      <c r="AE12" s="93">
        <v>2027.2171889999991</v>
      </c>
      <c r="AF12" s="94">
        <v>8.7996912359335377E-2</v>
      </c>
    </row>
    <row r="13" spans="1:32" ht="15" x14ac:dyDescent="0.25">
      <c r="A13" s="125" t="s">
        <v>158</v>
      </c>
      <c r="B13" s="125"/>
      <c r="C13" s="91" t="s">
        <v>159</v>
      </c>
      <c r="D13" s="92">
        <v>558.33369200000004</v>
      </c>
      <c r="E13" s="92">
        <v>487.20356299999997</v>
      </c>
      <c r="F13" s="93">
        <v>71.130129000000068</v>
      </c>
      <c r="G13" s="94">
        <v>0.14599673401813784</v>
      </c>
      <c r="H13" s="95"/>
      <c r="I13" s="92">
        <v>6055.7184880000004</v>
      </c>
      <c r="J13" s="92">
        <v>6752.3762800000004</v>
      </c>
      <c r="K13" s="93">
        <v>-696.65779199999997</v>
      </c>
      <c r="L13" s="94">
        <v>-0.10317224086925436</v>
      </c>
      <c r="M13" s="96"/>
      <c r="N13" s="92">
        <v>7030.5462550000002</v>
      </c>
      <c r="O13" s="92">
        <v>7073.4791839999998</v>
      </c>
      <c r="P13" s="93">
        <v>-42.932928999999604</v>
      </c>
      <c r="Q13" s="94">
        <v>-6.0695632069028838E-3</v>
      </c>
      <c r="R13" s="95"/>
      <c r="S13" s="95">
        <v>307.89751799999999</v>
      </c>
      <c r="T13" s="92">
        <v>257.32628599999998</v>
      </c>
      <c r="U13" s="93">
        <v>50.571232000000009</v>
      </c>
      <c r="V13" s="94">
        <v>0.19652571366144844</v>
      </c>
      <c r="W13" s="95"/>
      <c r="X13" s="92"/>
      <c r="Y13" s="92"/>
      <c r="Z13" s="93"/>
      <c r="AA13" s="94"/>
      <c r="AB13" s="95"/>
      <c r="AC13" s="92">
        <v>13394.162260999999</v>
      </c>
      <c r="AD13" s="92">
        <v>14083.18175</v>
      </c>
      <c r="AE13" s="93">
        <v>-689.01948900000025</v>
      </c>
      <c r="AF13" s="94">
        <v>-4.8924987352378713E-2</v>
      </c>
    </row>
    <row r="14" spans="1:32" ht="15" x14ac:dyDescent="0.25">
      <c r="A14" s="125" t="s">
        <v>160</v>
      </c>
      <c r="B14" s="125"/>
      <c r="C14" s="91" t="s">
        <v>161</v>
      </c>
      <c r="D14" s="92">
        <v>78.097307000000001</v>
      </c>
      <c r="E14" s="92">
        <v>64.890213000000003</v>
      </c>
      <c r="F14" s="93">
        <v>13.207093999999998</v>
      </c>
      <c r="G14" s="94">
        <v>0.20352982968325284</v>
      </c>
      <c r="H14" s="95"/>
      <c r="I14" s="92">
        <v>766.55873099999997</v>
      </c>
      <c r="J14" s="92">
        <v>792.21106199999997</v>
      </c>
      <c r="K14" s="93">
        <v>-25.652331000000004</v>
      </c>
      <c r="L14" s="94">
        <v>-3.2380677612906195E-2</v>
      </c>
      <c r="M14" s="96"/>
      <c r="N14" s="92">
        <v>953.072588</v>
      </c>
      <c r="O14" s="92">
        <v>860.890488</v>
      </c>
      <c r="P14" s="93">
        <v>92.182099999999991</v>
      </c>
      <c r="Q14" s="94">
        <v>0.10707761473141053</v>
      </c>
      <c r="R14" s="95"/>
      <c r="S14" s="95">
        <v>34.492364999999999</v>
      </c>
      <c r="T14" s="92">
        <v>39.486652999999997</v>
      </c>
      <c r="U14" s="93">
        <v>-4.9942879999999974</v>
      </c>
      <c r="V14" s="94">
        <v>-0.1264804084559914</v>
      </c>
      <c r="W14" s="95"/>
      <c r="X14" s="92"/>
      <c r="Y14" s="92"/>
      <c r="Z14" s="93"/>
      <c r="AA14" s="94"/>
      <c r="AB14" s="95"/>
      <c r="AC14" s="92">
        <v>1754.1236840000001</v>
      </c>
      <c r="AD14" s="92">
        <v>1692.5882029999998</v>
      </c>
      <c r="AE14" s="93">
        <v>61.535481000000345</v>
      </c>
      <c r="AF14" s="94">
        <v>3.6355848924701784E-2</v>
      </c>
    </row>
    <row r="15" spans="1:32" ht="15" x14ac:dyDescent="0.25">
      <c r="A15" s="125" t="s">
        <v>162</v>
      </c>
      <c r="B15" s="125"/>
      <c r="C15" s="91" t="s">
        <v>163</v>
      </c>
      <c r="D15" s="92">
        <v>424.62182899999999</v>
      </c>
      <c r="E15" s="92">
        <v>354.79818399999999</v>
      </c>
      <c r="F15" s="93">
        <v>69.823644999999999</v>
      </c>
      <c r="G15" s="94">
        <v>0.19679820289046357</v>
      </c>
      <c r="H15" s="95"/>
      <c r="I15" s="92">
        <v>4827.3236360000001</v>
      </c>
      <c r="J15" s="92">
        <v>5446.4291249999997</v>
      </c>
      <c r="K15" s="93">
        <v>-619.10548899999958</v>
      </c>
      <c r="L15" s="94">
        <v>-0.11367181593499565</v>
      </c>
      <c r="M15" s="96"/>
      <c r="N15" s="92">
        <v>5077.1202050000002</v>
      </c>
      <c r="O15" s="92">
        <v>5057.4920819999998</v>
      </c>
      <c r="P15" s="93">
        <v>19.628123000000414</v>
      </c>
      <c r="Q15" s="94">
        <v>3.880999254523454E-3</v>
      </c>
      <c r="R15" s="95"/>
      <c r="S15" s="95">
        <v>252.14090899999999</v>
      </c>
      <c r="T15" s="92">
        <v>183.09914800000001</v>
      </c>
      <c r="U15" s="93">
        <v>69.04176099999998</v>
      </c>
      <c r="V15" s="94">
        <v>0.37707308719972832</v>
      </c>
      <c r="W15" s="95"/>
      <c r="X15" s="92"/>
      <c r="Y15" s="92"/>
      <c r="Z15" s="93"/>
      <c r="AA15" s="94"/>
      <c r="AB15" s="95"/>
      <c r="AC15" s="92">
        <v>10156.58475</v>
      </c>
      <c r="AD15" s="92">
        <v>10687.020354999999</v>
      </c>
      <c r="AE15" s="93">
        <v>-530.43560499999876</v>
      </c>
      <c r="AF15" s="94">
        <v>-4.9633629148262193E-2</v>
      </c>
    </row>
    <row r="16" spans="1:32" ht="15" x14ac:dyDescent="0.25">
      <c r="A16" s="125" t="s">
        <v>164</v>
      </c>
      <c r="B16" s="125"/>
      <c r="C16" s="91" t="s">
        <v>165</v>
      </c>
      <c r="D16" s="92">
        <v>1270.265365</v>
      </c>
      <c r="E16" s="92">
        <v>1032.394548</v>
      </c>
      <c r="F16" s="93">
        <v>237.87081699999999</v>
      </c>
      <c r="G16" s="94">
        <v>0.23040688994417269</v>
      </c>
      <c r="H16" s="95"/>
      <c r="I16" s="92">
        <v>19525.053824999999</v>
      </c>
      <c r="J16" s="92">
        <v>17249.920443999999</v>
      </c>
      <c r="K16" s="93">
        <v>2275.1333809999996</v>
      </c>
      <c r="L16" s="94">
        <v>0.1318923984829945</v>
      </c>
      <c r="M16" s="96"/>
      <c r="N16" s="92">
        <v>18369.27504</v>
      </c>
      <c r="O16" s="92">
        <v>16512.723887</v>
      </c>
      <c r="P16" s="93">
        <v>1856.5511530000003</v>
      </c>
      <c r="Q16" s="94">
        <v>0.11243155070627742</v>
      </c>
      <c r="R16" s="95"/>
      <c r="S16" s="95">
        <v>729.87885100000005</v>
      </c>
      <c r="T16" s="92">
        <v>677.28825700000004</v>
      </c>
      <c r="U16" s="93">
        <v>52.59059400000001</v>
      </c>
      <c r="V16" s="94">
        <v>7.7648761006054112E-2</v>
      </c>
      <c r="W16" s="95"/>
      <c r="X16" s="92"/>
      <c r="Y16" s="92"/>
      <c r="Z16" s="93"/>
      <c r="AA16" s="94"/>
      <c r="AB16" s="95"/>
      <c r="AC16" s="92">
        <v>38624.207716000004</v>
      </c>
      <c r="AD16" s="92">
        <v>34439.932588000003</v>
      </c>
      <c r="AE16" s="93">
        <v>4184.2751280000011</v>
      </c>
      <c r="AF16" s="94">
        <v>0.1214948698667877</v>
      </c>
    </row>
    <row r="17" spans="1:32" ht="15" x14ac:dyDescent="0.25">
      <c r="A17" s="125" t="s">
        <v>166</v>
      </c>
      <c r="B17" s="125"/>
      <c r="C17" s="91" t="s">
        <v>167</v>
      </c>
      <c r="D17" s="92">
        <v>1014.775532</v>
      </c>
      <c r="E17" s="92">
        <v>965.22391000000005</v>
      </c>
      <c r="F17" s="93">
        <v>49.551621999999952</v>
      </c>
      <c r="G17" s="94">
        <v>5.1336919326832708E-2</v>
      </c>
      <c r="H17" s="95"/>
      <c r="I17" s="92">
        <v>13062.635840000001</v>
      </c>
      <c r="J17" s="92">
        <v>12585.513645000001</v>
      </c>
      <c r="K17" s="93">
        <v>477.12219499999992</v>
      </c>
      <c r="L17" s="94">
        <v>3.7910426897002525E-2</v>
      </c>
      <c r="M17" s="96"/>
      <c r="N17" s="92">
        <v>13730.643775</v>
      </c>
      <c r="O17" s="92">
        <v>13855.966022000001</v>
      </c>
      <c r="P17" s="93">
        <v>-125.32224700000006</v>
      </c>
      <c r="Q17" s="94">
        <v>-9.0446416223176618E-3</v>
      </c>
      <c r="R17" s="95"/>
      <c r="S17" s="95">
        <v>576.99740399999996</v>
      </c>
      <c r="T17" s="92">
        <v>606.51120300000002</v>
      </c>
      <c r="U17" s="93">
        <v>-29.513799000000063</v>
      </c>
      <c r="V17" s="94">
        <v>-4.8661589190793664E-2</v>
      </c>
      <c r="W17" s="95"/>
      <c r="X17" s="92"/>
      <c r="Y17" s="92"/>
      <c r="Z17" s="93"/>
      <c r="AA17" s="94"/>
      <c r="AB17" s="95"/>
      <c r="AC17" s="92">
        <v>27370.277019000001</v>
      </c>
      <c r="AD17" s="92">
        <v>27047.990870000001</v>
      </c>
      <c r="AE17" s="93">
        <v>322.28614899999957</v>
      </c>
      <c r="AF17" s="94">
        <v>1.1915345230224084E-2</v>
      </c>
    </row>
    <row r="18" spans="1:32" ht="15" x14ac:dyDescent="0.25">
      <c r="C18" s="85"/>
      <c r="D18" s="97"/>
      <c r="E18" s="97"/>
      <c r="F18" s="88"/>
      <c r="G18" s="98"/>
      <c r="H18" s="99"/>
      <c r="I18" s="97"/>
      <c r="J18" s="97"/>
      <c r="K18" s="88"/>
      <c r="L18" s="98"/>
      <c r="N18" s="97"/>
      <c r="O18" s="97"/>
      <c r="P18" s="88"/>
      <c r="Q18" s="98"/>
      <c r="R18" s="99"/>
      <c r="S18" s="97"/>
      <c r="T18" s="97"/>
      <c r="U18" s="97"/>
      <c r="V18" s="100"/>
      <c r="W18" s="99"/>
      <c r="X18" s="97"/>
      <c r="Y18" s="97"/>
      <c r="Z18" s="97"/>
      <c r="AA18" s="100"/>
      <c r="AB18" s="99"/>
      <c r="AC18" s="97"/>
      <c r="AD18" s="97"/>
      <c r="AE18" s="88"/>
      <c r="AF18" s="98"/>
    </row>
    <row r="19" spans="1:32" ht="15.75" thickBot="1" x14ac:dyDescent="0.3">
      <c r="C19" s="101" t="s">
        <v>168</v>
      </c>
      <c r="D19" s="102">
        <v>4585.1970119999996</v>
      </c>
      <c r="E19" s="102">
        <v>4101.79673</v>
      </c>
      <c r="F19" s="103">
        <v>483.40028199999961</v>
      </c>
      <c r="G19" s="104">
        <v>0.11785086239512399</v>
      </c>
      <c r="H19" s="105"/>
      <c r="I19" s="102">
        <v>61833.780670000007</v>
      </c>
      <c r="J19" s="102">
        <v>60049.182786999998</v>
      </c>
      <c r="K19" s="103">
        <v>1784.5978830000095</v>
      </c>
      <c r="L19" s="104">
        <v>2.9718937047488847E-2</v>
      </c>
      <c r="M19" s="104"/>
      <c r="N19" s="102">
        <v>62249.997432999997</v>
      </c>
      <c r="O19" s="102">
        <v>59214.360781000003</v>
      </c>
      <c r="P19" s="103">
        <v>3035.6366519999938</v>
      </c>
      <c r="Q19" s="104">
        <v>5.1265210194990862E-2</v>
      </c>
      <c r="R19" s="105"/>
      <c r="S19" s="102">
        <v>2602.5428570000004</v>
      </c>
      <c r="T19" s="102">
        <v>2480.6316110000002</v>
      </c>
      <c r="U19" s="103">
        <v>121.91124600000012</v>
      </c>
      <c r="V19" s="104">
        <v>4.9145244081951756E-2</v>
      </c>
      <c r="W19" s="105"/>
      <c r="X19" s="102">
        <v>0</v>
      </c>
      <c r="Y19" s="102">
        <v>0</v>
      </c>
      <c r="Z19" s="103">
        <v>0</v>
      </c>
      <c r="AA19" s="104" t="e">
        <v>#DIV/0!</v>
      </c>
      <c r="AB19" s="105"/>
      <c r="AC19" s="102">
        <v>126686.32096000001</v>
      </c>
      <c r="AD19" s="102">
        <v>121744.17517900001</v>
      </c>
      <c r="AE19" s="103">
        <v>4942.1457809999993</v>
      </c>
      <c r="AF19" s="104">
        <v>4.0594515291869859E-2</v>
      </c>
    </row>
    <row r="20" spans="1:32" ht="15.75" thickTop="1" x14ac:dyDescent="0.2">
      <c r="C20" s="85"/>
      <c r="D20" s="107"/>
      <c r="E20" s="107"/>
      <c r="F20" s="108"/>
      <c r="G20" s="109"/>
      <c r="H20" s="88"/>
      <c r="I20" s="110"/>
      <c r="J20" s="110"/>
      <c r="K20" s="108"/>
      <c r="L20" s="109"/>
      <c r="M20" s="88"/>
      <c r="N20" s="111"/>
      <c r="O20" s="88"/>
      <c r="P20" s="108"/>
      <c r="Q20" s="109"/>
      <c r="R20" s="88"/>
      <c r="S20" s="88"/>
      <c r="T20" s="88"/>
      <c r="U20" s="108"/>
      <c r="V20" s="109"/>
      <c r="W20" s="88"/>
      <c r="X20" s="88"/>
      <c r="Y20" s="88"/>
      <c r="Z20" s="108"/>
      <c r="AA20" s="109"/>
      <c r="AB20" s="88"/>
      <c r="AC20" s="90"/>
      <c r="AD20" s="90"/>
      <c r="AE20" s="108"/>
      <c r="AF20" s="109"/>
    </row>
    <row r="21" spans="1:32" ht="15.75" thickBot="1" x14ac:dyDescent="0.3">
      <c r="C21" s="91"/>
      <c r="D21" s="112"/>
      <c r="E21" s="112"/>
      <c r="F21" s="95"/>
      <c r="G21" s="113"/>
      <c r="H21" s="113"/>
      <c r="I21" s="114"/>
      <c r="J21" s="114"/>
      <c r="K21" s="95"/>
      <c r="L21" s="113"/>
      <c r="M21" s="113"/>
      <c r="N21" s="113"/>
      <c r="O21" s="113"/>
      <c r="P21" s="113"/>
      <c r="Q21" s="113"/>
      <c r="R21" s="113"/>
      <c r="S21" s="113"/>
      <c r="T21" s="113"/>
      <c r="U21" s="113"/>
      <c r="V21" s="113"/>
      <c r="W21" s="113"/>
      <c r="X21" s="113"/>
      <c r="Y21" s="113"/>
      <c r="Z21" s="113"/>
      <c r="AA21" s="113"/>
      <c r="AB21" s="113"/>
      <c r="AC21" s="114"/>
      <c r="AD21" s="114"/>
      <c r="AE21" s="95"/>
      <c r="AF21" s="113"/>
    </row>
    <row r="22" spans="1:32" ht="24" thickBot="1" x14ac:dyDescent="0.25">
      <c r="C22" s="133" t="s">
        <v>233</v>
      </c>
      <c r="D22" s="134"/>
      <c r="E22" s="134"/>
      <c r="F22" s="134"/>
      <c r="G22" s="134"/>
      <c r="H22" s="134"/>
      <c r="I22" s="134"/>
      <c r="J22" s="134"/>
      <c r="K22" s="134"/>
      <c r="L22" s="134"/>
      <c r="M22" s="134"/>
      <c r="N22" s="134"/>
      <c r="O22" s="134"/>
      <c r="P22" s="134"/>
      <c r="Q22" s="134"/>
      <c r="R22" s="134"/>
      <c r="S22" s="134"/>
      <c r="T22" s="134"/>
      <c r="U22" s="134"/>
      <c r="V22" s="134"/>
      <c r="W22" s="134"/>
      <c r="X22" s="134"/>
      <c r="Y22" s="134"/>
      <c r="Z22" s="134"/>
      <c r="AA22" s="134"/>
      <c r="AB22" s="134"/>
      <c r="AC22" s="134"/>
      <c r="AD22" s="134"/>
      <c r="AE22" s="134"/>
      <c r="AF22" s="134"/>
    </row>
    <row r="23" spans="1:32" ht="19.5" thickBot="1" x14ac:dyDescent="0.25">
      <c r="C23" s="137" t="s">
        <v>238</v>
      </c>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c r="AC23" s="137"/>
      <c r="AD23" s="137"/>
      <c r="AE23" s="137"/>
      <c r="AF23" s="137"/>
    </row>
    <row r="24" spans="1:32" ht="15" x14ac:dyDescent="0.25">
      <c r="C24" s="81"/>
      <c r="D24" s="132" t="s">
        <v>239</v>
      </c>
      <c r="E24" s="132"/>
      <c r="F24" s="132"/>
      <c r="G24" s="132"/>
      <c r="H24" s="82"/>
      <c r="I24" s="132" t="str">
        <f>+I8</f>
        <v>Q1 \ TR1</v>
      </c>
      <c r="J24" s="132">
        <v>0</v>
      </c>
      <c r="K24" s="132">
        <v>0</v>
      </c>
      <c r="L24" s="132">
        <v>0</v>
      </c>
      <c r="M24" s="82"/>
      <c r="N24" s="132" t="str">
        <f>N8</f>
        <v>Q2 Preliminary \ TR2 Préliminaire</v>
      </c>
      <c r="O24" s="132"/>
      <c r="P24" s="132"/>
      <c r="Q24" s="132"/>
      <c r="R24" s="132"/>
      <c r="S24" s="132" t="str">
        <f>S8</f>
        <v>Q3TD \ TR3ÀJ</v>
      </c>
      <c r="T24" s="132"/>
      <c r="U24" s="132"/>
      <c r="V24" s="132"/>
      <c r="W24" s="82"/>
      <c r="X24" s="132" t="s">
        <v>237</v>
      </c>
      <c r="Y24" s="132"/>
      <c r="Z24" s="132"/>
      <c r="AA24" s="132"/>
      <c r="AB24" s="82"/>
      <c r="AC24" s="132" t="str">
        <f>AC8</f>
        <v>YTD \ AÀJ</v>
      </c>
      <c r="AD24" s="132">
        <v>0</v>
      </c>
      <c r="AE24" s="132">
        <v>0</v>
      </c>
      <c r="AF24" s="132">
        <v>0</v>
      </c>
    </row>
    <row r="25" spans="1:32" ht="15" x14ac:dyDescent="0.2">
      <c r="C25" s="85"/>
      <c r="D25" s="86">
        <v>2026</v>
      </c>
      <c r="E25" s="86">
        <v>2025</v>
      </c>
      <c r="F25" s="87" t="s">
        <v>153</v>
      </c>
      <c r="G25" s="87" t="s">
        <v>154</v>
      </c>
      <c r="H25" s="88"/>
      <c r="I25" s="86">
        <v>2026</v>
      </c>
      <c r="J25" s="86">
        <v>2025</v>
      </c>
      <c r="K25" s="87" t="s">
        <v>153</v>
      </c>
      <c r="L25" s="87" t="s">
        <v>154</v>
      </c>
      <c r="M25" s="88"/>
      <c r="N25" s="86">
        <v>2026</v>
      </c>
      <c r="O25" s="86">
        <v>2025</v>
      </c>
      <c r="P25" s="87" t="s">
        <v>153</v>
      </c>
      <c r="Q25" s="87" t="s">
        <v>154</v>
      </c>
      <c r="R25" s="88"/>
      <c r="S25" s="86">
        <v>2026</v>
      </c>
      <c r="T25" s="86">
        <v>2025</v>
      </c>
      <c r="U25" s="87" t="s">
        <v>153</v>
      </c>
      <c r="V25" s="87" t="s">
        <v>154</v>
      </c>
      <c r="W25" s="88"/>
      <c r="X25" s="86">
        <v>2025</v>
      </c>
      <c r="Y25" s="86">
        <v>2024</v>
      </c>
      <c r="Z25" s="87" t="s">
        <v>153</v>
      </c>
      <c r="AA25" s="87" t="s">
        <v>154</v>
      </c>
      <c r="AB25" s="88"/>
      <c r="AC25" s="86">
        <v>2026</v>
      </c>
      <c r="AD25" s="86">
        <v>2025</v>
      </c>
      <c r="AE25" s="87" t="s">
        <v>153</v>
      </c>
      <c r="AF25" s="87" t="s">
        <v>154</v>
      </c>
    </row>
    <row r="26" spans="1:32" ht="15" x14ac:dyDescent="0.25">
      <c r="C26" s="83"/>
      <c r="D26" s="115"/>
      <c r="E26" s="115"/>
      <c r="F26" s="116"/>
      <c r="G26" s="117"/>
      <c r="H26" s="117"/>
      <c r="I26" s="115"/>
      <c r="J26" s="115"/>
      <c r="K26" s="116"/>
      <c r="L26" s="117"/>
      <c r="M26" s="117"/>
      <c r="N26" s="117"/>
      <c r="O26" s="117"/>
      <c r="P26" s="117"/>
      <c r="Q26" s="117"/>
      <c r="R26" s="117"/>
      <c r="S26" s="117"/>
      <c r="T26" s="117"/>
      <c r="U26" s="117"/>
      <c r="V26" s="117"/>
      <c r="W26" s="117"/>
      <c r="X26" s="117"/>
      <c r="Y26" s="117"/>
      <c r="Z26" s="117"/>
      <c r="AA26" s="117"/>
      <c r="AB26" s="117"/>
      <c r="AC26" s="118"/>
      <c r="AD26" s="118"/>
      <c r="AE26" s="118"/>
      <c r="AF26" s="118"/>
    </row>
    <row r="27" spans="1:32" ht="15" x14ac:dyDescent="0.25">
      <c r="A27" s="125" t="s">
        <v>18</v>
      </c>
      <c r="B27" s="125"/>
      <c r="C27" s="91" t="s">
        <v>155</v>
      </c>
      <c r="D27" s="92">
        <v>5049</v>
      </c>
      <c r="E27" s="92">
        <v>4980</v>
      </c>
      <c r="F27" s="93">
        <v>69</v>
      </c>
      <c r="G27" s="94">
        <v>1.3855421686747027E-2</v>
      </c>
      <c r="H27" s="95"/>
      <c r="I27" s="92">
        <v>66749</v>
      </c>
      <c r="J27" s="92">
        <v>72850</v>
      </c>
      <c r="K27" s="93">
        <v>-6101</v>
      </c>
      <c r="L27" s="94">
        <v>-8.3747426218256704E-2</v>
      </c>
      <c r="M27" s="96"/>
      <c r="N27" s="92">
        <v>70446</v>
      </c>
      <c r="O27" s="92">
        <v>71320</v>
      </c>
      <c r="P27" s="93">
        <v>-874</v>
      </c>
      <c r="Q27" s="94">
        <v>-1.2254627033090326E-2</v>
      </c>
      <c r="R27" s="95"/>
      <c r="S27" s="92">
        <v>2864</v>
      </c>
      <c r="T27" s="92">
        <v>3408</v>
      </c>
      <c r="U27" s="93">
        <v>-544</v>
      </c>
      <c r="V27" s="94">
        <v>-0.15962441314553988</v>
      </c>
      <c r="W27" s="95"/>
      <c r="X27" s="92"/>
      <c r="Y27" s="92"/>
      <c r="Z27" s="93"/>
      <c r="AA27" s="94"/>
      <c r="AB27" s="95"/>
      <c r="AC27" s="92">
        <v>140059</v>
      </c>
      <c r="AD27" s="92">
        <v>147578</v>
      </c>
      <c r="AE27" s="93">
        <v>-7519</v>
      </c>
      <c r="AF27" s="94">
        <v>-5.0949328490696444E-2</v>
      </c>
    </row>
    <row r="28" spans="1:32" ht="15" x14ac:dyDescent="0.25">
      <c r="A28" s="125" t="s">
        <v>156</v>
      </c>
      <c r="B28" s="125"/>
      <c r="C28" s="91" t="s">
        <v>157</v>
      </c>
      <c r="D28" s="92">
        <v>12470</v>
      </c>
      <c r="E28" s="92">
        <v>11712</v>
      </c>
      <c r="F28" s="93">
        <v>758</v>
      </c>
      <c r="G28" s="94">
        <v>6.4719945355191211E-2</v>
      </c>
      <c r="H28" s="95"/>
      <c r="I28" s="92">
        <v>170420</v>
      </c>
      <c r="J28" s="92">
        <v>163596</v>
      </c>
      <c r="K28" s="93">
        <v>6824</v>
      </c>
      <c r="L28" s="94">
        <v>4.1712511308344968E-2</v>
      </c>
      <c r="M28" s="96"/>
      <c r="N28" s="92">
        <v>169172</v>
      </c>
      <c r="O28" s="92">
        <v>153472</v>
      </c>
      <c r="P28" s="93">
        <v>15700</v>
      </c>
      <c r="Q28" s="94">
        <v>0.10229879065888237</v>
      </c>
      <c r="R28" s="95"/>
      <c r="S28" s="92">
        <v>7157</v>
      </c>
      <c r="T28" s="92">
        <v>7002</v>
      </c>
      <c r="U28" s="93">
        <v>155</v>
      </c>
      <c r="V28" s="94">
        <v>2.2136532419308796E-2</v>
      </c>
      <c r="W28" s="95"/>
      <c r="X28" s="92"/>
      <c r="Y28" s="92"/>
      <c r="Z28" s="93"/>
      <c r="AA28" s="94"/>
      <c r="AB28" s="95"/>
      <c r="AC28" s="92">
        <v>346749</v>
      </c>
      <c r="AD28" s="92">
        <v>324070</v>
      </c>
      <c r="AE28" s="93">
        <v>22679</v>
      </c>
      <c r="AF28" s="94">
        <v>6.9981794056839464E-2</v>
      </c>
    </row>
    <row r="29" spans="1:32" ht="15" x14ac:dyDescent="0.25">
      <c r="A29" s="125" t="s">
        <v>158</v>
      </c>
      <c r="B29" s="125"/>
      <c r="C29" s="91" t="s">
        <v>159</v>
      </c>
      <c r="D29" s="92">
        <v>17441</v>
      </c>
      <c r="E29" s="92">
        <v>17498</v>
      </c>
      <c r="F29" s="93">
        <v>-57</v>
      </c>
      <c r="G29" s="94">
        <v>-3.2575151445879413E-3</v>
      </c>
      <c r="H29" s="95"/>
      <c r="I29" s="92">
        <v>213508</v>
      </c>
      <c r="J29" s="92">
        <v>212662</v>
      </c>
      <c r="K29" s="93">
        <v>846</v>
      </c>
      <c r="L29" s="94">
        <v>3.9781437210220094E-3</v>
      </c>
      <c r="M29" s="96"/>
      <c r="N29" s="92">
        <v>234197</v>
      </c>
      <c r="O29" s="92">
        <v>239252</v>
      </c>
      <c r="P29" s="93">
        <v>-5055</v>
      </c>
      <c r="Q29" s="94">
        <v>-2.1128350024242182E-2</v>
      </c>
      <c r="R29" s="95"/>
      <c r="S29" s="92">
        <v>9989</v>
      </c>
      <c r="T29" s="92">
        <v>10223</v>
      </c>
      <c r="U29" s="93">
        <v>-234</v>
      </c>
      <c r="V29" s="94">
        <v>-2.2889562750660231E-2</v>
      </c>
      <c r="W29" s="95"/>
      <c r="X29" s="92"/>
      <c r="Y29" s="92"/>
      <c r="Z29" s="93"/>
      <c r="AA29" s="94"/>
      <c r="AB29" s="95"/>
      <c r="AC29" s="92">
        <v>457694</v>
      </c>
      <c r="AD29" s="92">
        <v>462137</v>
      </c>
      <c r="AE29" s="93">
        <v>-4443</v>
      </c>
      <c r="AF29" s="94">
        <v>-9.6140322025719538E-3</v>
      </c>
    </row>
    <row r="30" spans="1:32" ht="15" x14ac:dyDescent="0.25">
      <c r="A30" s="125" t="s">
        <v>160</v>
      </c>
      <c r="B30" s="125"/>
      <c r="C30" s="91" t="s">
        <v>161</v>
      </c>
      <c r="D30" s="92">
        <v>4096</v>
      </c>
      <c r="E30" s="92">
        <v>3464</v>
      </c>
      <c r="F30" s="93">
        <v>632</v>
      </c>
      <c r="G30" s="94">
        <v>0.18244803695150114</v>
      </c>
      <c r="H30" s="95"/>
      <c r="I30" s="92">
        <v>47696</v>
      </c>
      <c r="J30" s="92">
        <v>50750</v>
      </c>
      <c r="K30" s="93">
        <v>-3054</v>
      </c>
      <c r="L30" s="94">
        <v>-6.0177339901477778E-2</v>
      </c>
      <c r="M30" s="96"/>
      <c r="N30" s="92">
        <v>58531</v>
      </c>
      <c r="O30" s="92">
        <v>56770</v>
      </c>
      <c r="P30" s="93">
        <v>1761</v>
      </c>
      <c r="Q30" s="94">
        <v>3.101990487933759E-2</v>
      </c>
      <c r="R30" s="95"/>
      <c r="S30" s="92">
        <v>2104.6244000000002</v>
      </c>
      <c r="T30" s="92">
        <v>2064.7046999999998</v>
      </c>
      <c r="U30" s="93">
        <v>39.919700000000375</v>
      </c>
      <c r="V30" s="94">
        <v>1.9334338707128529E-2</v>
      </c>
      <c r="W30" s="95"/>
      <c r="X30" s="92"/>
      <c r="Y30" s="92"/>
      <c r="Z30" s="93"/>
      <c r="AA30" s="94"/>
      <c r="AB30" s="95"/>
      <c r="AC30" s="92">
        <v>108331.6244</v>
      </c>
      <c r="AD30" s="92">
        <v>109584.7047</v>
      </c>
      <c r="AE30" s="93">
        <v>-1253.0803000000014</v>
      </c>
      <c r="AF30" s="94">
        <v>-1.1434810208509005E-2</v>
      </c>
    </row>
    <row r="31" spans="1:32" ht="15" x14ac:dyDescent="0.25">
      <c r="A31" s="125" t="s">
        <v>162</v>
      </c>
      <c r="B31" s="125"/>
      <c r="C31" s="91" t="s">
        <v>163</v>
      </c>
      <c r="D31" s="92">
        <v>8783</v>
      </c>
      <c r="E31" s="92">
        <v>9472</v>
      </c>
      <c r="F31" s="93">
        <v>-689</v>
      </c>
      <c r="G31" s="94">
        <v>-7.2740709459459429E-2</v>
      </c>
      <c r="H31" s="95"/>
      <c r="I31" s="92">
        <v>107896</v>
      </c>
      <c r="J31" s="92">
        <v>118156</v>
      </c>
      <c r="K31" s="93">
        <v>-10260</v>
      </c>
      <c r="L31" s="94">
        <v>-8.6834354582077888E-2</v>
      </c>
      <c r="M31" s="96"/>
      <c r="N31" s="92">
        <v>109863</v>
      </c>
      <c r="O31" s="92">
        <v>115165</v>
      </c>
      <c r="P31" s="93">
        <v>-5302</v>
      </c>
      <c r="Q31" s="94">
        <v>-4.6038292884122756E-2</v>
      </c>
      <c r="R31" s="95"/>
      <c r="S31" s="92">
        <v>4956</v>
      </c>
      <c r="T31" s="92">
        <v>5478</v>
      </c>
      <c r="U31" s="93">
        <v>-522</v>
      </c>
      <c r="V31" s="94">
        <v>-9.5290251916757995E-2</v>
      </c>
      <c r="W31" s="95"/>
      <c r="X31" s="92"/>
      <c r="Y31" s="92"/>
      <c r="Z31" s="93"/>
      <c r="AA31" s="94"/>
      <c r="AB31" s="95"/>
      <c r="AC31" s="92">
        <v>222715</v>
      </c>
      <c r="AD31" s="92">
        <v>238799</v>
      </c>
      <c r="AE31" s="93">
        <v>-16084</v>
      </c>
      <c r="AF31" s="94">
        <v>-6.7353715886582455E-2</v>
      </c>
    </row>
    <row r="32" spans="1:32" ht="15" x14ac:dyDescent="0.25">
      <c r="A32" s="125" t="s">
        <v>164</v>
      </c>
      <c r="B32" s="125"/>
      <c r="C32" s="91" t="s">
        <v>165</v>
      </c>
      <c r="D32" s="92">
        <v>13531</v>
      </c>
      <c r="E32" s="92">
        <v>11796</v>
      </c>
      <c r="F32" s="93">
        <v>1735</v>
      </c>
      <c r="G32" s="94">
        <v>0.14708375720583255</v>
      </c>
      <c r="H32" s="95"/>
      <c r="I32" s="92">
        <v>195435</v>
      </c>
      <c r="J32" s="92">
        <v>177661</v>
      </c>
      <c r="K32" s="93">
        <v>17774</v>
      </c>
      <c r="L32" s="94">
        <v>0.10004446670906941</v>
      </c>
      <c r="M32" s="96"/>
      <c r="N32" s="92">
        <v>193937</v>
      </c>
      <c r="O32" s="92">
        <v>177035</v>
      </c>
      <c r="P32" s="93">
        <v>16902</v>
      </c>
      <c r="Q32" s="94">
        <v>9.5472646651792115E-2</v>
      </c>
      <c r="R32" s="95"/>
      <c r="S32" s="92">
        <v>7467</v>
      </c>
      <c r="T32" s="92">
        <v>7560</v>
      </c>
      <c r="U32" s="93">
        <v>-93</v>
      </c>
      <c r="V32" s="94">
        <v>-1.2301587301587258E-2</v>
      </c>
      <c r="W32" s="95"/>
      <c r="X32" s="92"/>
      <c r="Y32" s="92"/>
      <c r="Z32" s="93"/>
      <c r="AA32" s="94"/>
      <c r="AB32" s="95"/>
      <c r="AC32" s="92">
        <v>396839</v>
      </c>
      <c r="AD32" s="92">
        <v>362256</v>
      </c>
      <c r="AE32" s="93">
        <v>34583</v>
      </c>
      <c r="AF32" s="94">
        <v>9.546563756017834E-2</v>
      </c>
    </row>
    <row r="33" spans="1:32" ht="15" x14ac:dyDescent="0.25">
      <c r="A33" s="125" t="s">
        <v>166</v>
      </c>
      <c r="B33" s="125"/>
      <c r="C33" s="91" t="s">
        <v>167</v>
      </c>
      <c r="D33" s="92">
        <v>42273</v>
      </c>
      <c r="E33" s="92">
        <v>44279</v>
      </c>
      <c r="F33" s="93">
        <v>-2006</v>
      </c>
      <c r="G33" s="94">
        <v>-4.5303642810361588E-2</v>
      </c>
      <c r="H33" s="95"/>
      <c r="I33" s="92">
        <v>534399</v>
      </c>
      <c r="J33" s="92">
        <v>516924</v>
      </c>
      <c r="K33" s="93">
        <v>17475</v>
      </c>
      <c r="L33" s="94">
        <v>3.3805743204029959E-2</v>
      </c>
      <c r="M33" s="96"/>
      <c r="N33" s="92">
        <v>572564</v>
      </c>
      <c r="O33" s="92">
        <v>601756</v>
      </c>
      <c r="P33" s="93">
        <v>-29192</v>
      </c>
      <c r="Q33" s="94">
        <v>-4.8511356762541591E-2</v>
      </c>
      <c r="R33" s="95"/>
      <c r="S33" s="92">
        <v>24110</v>
      </c>
      <c r="T33" s="92">
        <v>26901</v>
      </c>
      <c r="U33" s="93">
        <v>-2791</v>
      </c>
      <c r="V33" s="94">
        <v>-0.10375078993345976</v>
      </c>
      <c r="W33" s="95"/>
      <c r="X33" s="92"/>
      <c r="Y33" s="92"/>
      <c r="Z33" s="93"/>
      <c r="AA33" s="94"/>
      <c r="AB33" s="95"/>
      <c r="AC33" s="92">
        <v>1131073</v>
      </c>
      <c r="AD33" s="92">
        <v>1145581</v>
      </c>
      <c r="AE33" s="93">
        <v>-14508</v>
      </c>
      <c r="AF33" s="94">
        <v>-1.2664316185411639E-2</v>
      </c>
    </row>
    <row r="34" spans="1:32" ht="15" x14ac:dyDescent="0.25">
      <c r="C34" s="119"/>
      <c r="D34" s="97"/>
      <c r="E34" s="97"/>
      <c r="F34" s="88"/>
      <c r="G34" s="98"/>
      <c r="H34" s="99"/>
      <c r="I34" s="97"/>
      <c r="J34" s="97"/>
      <c r="K34" s="88"/>
      <c r="L34" s="98"/>
      <c r="M34" s="99"/>
      <c r="N34" s="97"/>
      <c r="O34" s="97"/>
      <c r="P34" s="88"/>
      <c r="Q34" s="98"/>
      <c r="R34" s="99"/>
      <c r="S34" s="97"/>
      <c r="T34" s="97"/>
      <c r="U34" s="97"/>
      <c r="V34" s="98"/>
      <c r="W34" s="99"/>
      <c r="X34" s="97"/>
      <c r="Y34" s="97"/>
      <c r="Z34" s="97"/>
      <c r="AA34" s="98"/>
      <c r="AB34" s="99"/>
      <c r="AC34" s="97"/>
      <c r="AD34" s="97"/>
      <c r="AE34" s="88"/>
      <c r="AF34" s="98"/>
    </row>
    <row r="35" spans="1:32" ht="15.75" thickBot="1" x14ac:dyDescent="0.3">
      <c r="C35" s="101" t="s">
        <v>169</v>
      </c>
      <c r="D35" s="102">
        <v>103643</v>
      </c>
      <c r="E35" s="102">
        <v>103201</v>
      </c>
      <c r="F35" s="103">
        <v>442</v>
      </c>
      <c r="G35" s="104">
        <v>4.2829042354239899E-3</v>
      </c>
      <c r="H35" s="105"/>
      <c r="I35" s="102">
        <v>1336103</v>
      </c>
      <c r="J35" s="102">
        <v>1312599</v>
      </c>
      <c r="K35" s="103">
        <v>23504</v>
      </c>
      <c r="L35" s="104">
        <v>1.7906458865198038E-2</v>
      </c>
      <c r="M35" s="106"/>
      <c r="N35" s="102">
        <v>1408710</v>
      </c>
      <c r="O35" s="102">
        <v>1414770</v>
      </c>
      <c r="P35" s="103">
        <v>-6060</v>
      </c>
      <c r="Q35" s="104">
        <v>-4.283381751097326E-3</v>
      </c>
      <c r="R35" s="105"/>
      <c r="S35" s="102">
        <v>58647.624400000001</v>
      </c>
      <c r="T35" s="102">
        <v>62636.704700000002</v>
      </c>
      <c r="U35" s="103">
        <v>-3989.0803000000014</v>
      </c>
      <c r="V35" s="104">
        <v>-6.3685986022186114E-2</v>
      </c>
      <c r="W35" s="105"/>
      <c r="X35" s="102">
        <v>0</v>
      </c>
      <c r="Y35" s="102">
        <v>0</v>
      </c>
      <c r="Z35" s="103">
        <v>0</v>
      </c>
      <c r="AA35" s="104" t="e">
        <v>#DIV/0!</v>
      </c>
      <c r="AB35" s="105"/>
      <c r="AC35" s="102">
        <v>2803460.6244000001</v>
      </c>
      <c r="AD35" s="102">
        <v>2790005.7047000001</v>
      </c>
      <c r="AE35" s="103">
        <v>13454.919699999969</v>
      </c>
      <c r="AF35" s="104">
        <v>4.822542003170005E-3</v>
      </c>
    </row>
    <row r="36" spans="1:32" ht="15.75" thickTop="1" x14ac:dyDescent="0.2">
      <c r="C36" s="85"/>
      <c r="D36" s="107"/>
      <c r="E36" s="107"/>
      <c r="F36" s="108"/>
      <c r="G36" s="109"/>
      <c r="H36" s="88"/>
      <c r="I36" s="120"/>
      <c r="J36" s="110"/>
      <c r="K36" s="108"/>
      <c r="L36" s="109"/>
      <c r="M36" s="88"/>
      <c r="N36" s="88"/>
      <c r="O36" s="88"/>
      <c r="P36" s="108"/>
      <c r="Q36" s="109"/>
      <c r="R36" s="88"/>
      <c r="S36" s="88"/>
      <c r="T36" s="88"/>
      <c r="U36" s="108"/>
      <c r="V36" s="109"/>
      <c r="W36" s="88"/>
      <c r="X36" s="88"/>
      <c r="Y36" s="88"/>
      <c r="Z36" s="108"/>
      <c r="AA36" s="109"/>
      <c r="AB36" s="88"/>
      <c r="AC36" s="90"/>
      <c r="AD36" s="90"/>
      <c r="AE36" s="108"/>
      <c r="AF36" s="109"/>
    </row>
    <row r="37" spans="1:32" ht="15" x14ac:dyDescent="0.25">
      <c r="C37" s="121" t="s">
        <v>170</v>
      </c>
      <c r="D37" s="122"/>
      <c r="E37" s="122"/>
      <c r="F37" s="122"/>
      <c r="G37" s="123"/>
      <c r="H37" s="123"/>
      <c r="I37" s="122"/>
      <c r="J37" s="93"/>
      <c r="K37" s="122"/>
      <c r="L37" s="123"/>
      <c r="M37" s="123"/>
      <c r="N37" s="123"/>
      <c r="O37" s="123"/>
      <c r="P37" s="123"/>
      <c r="Q37" s="123"/>
      <c r="R37" s="123"/>
      <c r="S37" s="123"/>
      <c r="T37" s="123"/>
      <c r="U37" s="123"/>
      <c r="V37" s="123"/>
      <c r="W37" s="123"/>
      <c r="X37" s="123"/>
      <c r="Y37" s="123"/>
      <c r="Z37" s="123"/>
      <c r="AA37" s="123"/>
      <c r="AB37" s="123"/>
      <c r="AC37" s="124"/>
      <c r="AD37" s="124"/>
      <c r="AE37" s="124"/>
      <c r="AF37" s="124"/>
    </row>
    <row r="38" spans="1:32" ht="15" x14ac:dyDescent="0.25">
      <c r="C38" s="124" t="s">
        <v>244</v>
      </c>
      <c r="D38" s="122"/>
      <c r="E38" s="122"/>
      <c r="F38" s="122"/>
      <c r="G38" s="123"/>
      <c r="H38" s="123"/>
      <c r="I38" s="122"/>
      <c r="J38" s="93"/>
      <c r="K38" s="122"/>
      <c r="L38" s="123"/>
      <c r="M38" s="123"/>
      <c r="N38" s="123"/>
      <c r="O38" s="123"/>
      <c r="P38" s="123"/>
      <c r="Q38" s="123"/>
      <c r="R38" s="123"/>
      <c r="S38" s="123"/>
      <c r="T38" s="123"/>
      <c r="U38" s="123"/>
      <c r="V38" s="123"/>
      <c r="W38" s="123"/>
      <c r="X38" s="123"/>
      <c r="Y38" s="123"/>
      <c r="Z38" s="123"/>
      <c r="AA38" s="123"/>
      <c r="AB38" s="123"/>
      <c r="AC38" s="124"/>
      <c r="AD38" s="124"/>
      <c r="AE38" s="124"/>
      <c r="AF38" s="124"/>
    </row>
    <row r="39" spans="1:32" ht="15" x14ac:dyDescent="0.25">
      <c r="C39" s="124" t="s">
        <v>234</v>
      </c>
      <c r="D39" s="122"/>
      <c r="E39" s="122"/>
      <c r="F39" s="122"/>
      <c r="G39" s="123"/>
      <c r="H39" s="123"/>
      <c r="I39" s="122"/>
      <c r="J39" s="93"/>
      <c r="K39" s="122"/>
      <c r="L39" s="123"/>
      <c r="M39" s="123"/>
      <c r="N39" s="123"/>
      <c r="O39" s="123"/>
      <c r="P39" s="123"/>
      <c r="Q39" s="123"/>
      <c r="R39" s="123"/>
      <c r="S39" s="123"/>
      <c r="T39" s="123"/>
      <c r="U39" s="123"/>
      <c r="V39" s="123"/>
      <c r="W39" s="123"/>
      <c r="X39" s="123"/>
      <c r="Y39" s="123"/>
      <c r="Z39" s="123"/>
      <c r="AA39" s="123"/>
      <c r="AB39" s="123"/>
      <c r="AC39" s="124"/>
      <c r="AD39" s="124"/>
      <c r="AE39" s="124"/>
      <c r="AF39" s="124"/>
    </row>
    <row r="40" spans="1:32" x14ac:dyDescent="0.2">
      <c r="C40" s="124" t="s">
        <v>171</v>
      </c>
    </row>
    <row r="41" spans="1:32" x14ac:dyDescent="0.2">
      <c r="C41" s="124" t="s">
        <v>172</v>
      </c>
    </row>
  </sheetData>
  <sheetProtection algorithmName="SHA-512" hashValue="31X7Et1Ee5VeEpWleHPzBCrNal0mI9v//Q3FIGApMZI41qlPT7DpasFvXaMxjgZKL23lKhCByB4R81wmyqwtng==" saltValue="OTS9X8Bb6Fjg5X/h6gi6Mg==" spinCount="100000" sheet="1" objects="1" scenarios="1"/>
  <mergeCells count="16">
    <mergeCell ref="N24:R24"/>
    <mergeCell ref="S24:V24"/>
    <mergeCell ref="X24:AA24"/>
    <mergeCell ref="C6:AF6"/>
    <mergeCell ref="C7:AF7"/>
    <mergeCell ref="AC24:AF24"/>
    <mergeCell ref="D8:G8"/>
    <mergeCell ref="I8:L8"/>
    <mergeCell ref="N8:R8"/>
    <mergeCell ref="S8:V8"/>
    <mergeCell ref="X8:AA8"/>
    <mergeCell ref="AC8:AF8"/>
    <mergeCell ref="C22:AF22"/>
    <mergeCell ref="C23:AF23"/>
    <mergeCell ref="D24:G24"/>
    <mergeCell ref="I24:L24"/>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BAB65-C3B5-4657-B809-4EEE6FF86516}">
  <sheetPr codeName="Sheet4">
    <tabColor rgb="FFFF0000"/>
  </sheetPr>
  <dimension ref="A1:BB50"/>
  <sheetViews>
    <sheetView topLeftCell="V1" workbookViewId="0">
      <selection activeCell="C22" sqref="C22"/>
    </sheetView>
  </sheetViews>
  <sheetFormatPr defaultColWidth="6.7109375" defaultRowHeight="12.75" x14ac:dyDescent="0.2"/>
  <cols>
    <col min="1" max="1" width="7.28515625" style="42" customWidth="1"/>
    <col min="2" max="2" width="56.140625" style="42" customWidth="1"/>
    <col min="3" max="3" width="9.42578125" style="43" customWidth="1"/>
    <col min="4" max="54" width="9.42578125" style="42" customWidth="1"/>
    <col min="55" max="16384" width="6.7109375" style="42"/>
  </cols>
  <sheetData>
    <row r="1" spans="1:54" ht="49.5" customHeight="1" x14ac:dyDescent="0.4">
      <c r="A1" s="143" t="s">
        <v>235</v>
      </c>
      <c r="B1" s="144"/>
      <c r="C1" s="144"/>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c r="AH1" s="144"/>
      <c r="AI1" s="144"/>
      <c r="AJ1" s="144"/>
      <c r="AK1" s="144"/>
      <c r="AL1" s="144"/>
      <c r="AM1" s="144"/>
      <c r="AN1" s="144"/>
      <c r="AO1" s="144"/>
      <c r="AP1" s="144"/>
      <c r="AQ1" s="144"/>
      <c r="AR1" s="144"/>
      <c r="AS1" s="144"/>
      <c r="AT1" s="144"/>
      <c r="AU1" s="144"/>
      <c r="AV1" s="144"/>
      <c r="AW1" s="144"/>
      <c r="AX1" s="144"/>
      <c r="AY1" s="144"/>
      <c r="AZ1" s="144"/>
      <c r="BA1" s="144"/>
      <c r="BB1" s="144"/>
    </row>
    <row r="2" spans="1:54" ht="13.5" thickBot="1" x14ac:dyDescent="0.25">
      <c r="A2" s="4"/>
      <c r="B2" s="7" t="s">
        <v>178</v>
      </c>
      <c r="C2" s="5">
        <v>1</v>
      </c>
      <c r="D2" s="5">
        <v>2</v>
      </c>
      <c r="E2" s="5">
        <v>3</v>
      </c>
      <c r="F2" s="5">
        <v>4</v>
      </c>
      <c r="G2" s="5">
        <v>5</v>
      </c>
      <c r="H2" s="5">
        <v>6</v>
      </c>
      <c r="I2" s="5">
        <v>7</v>
      </c>
      <c r="J2" s="5">
        <v>8</v>
      </c>
      <c r="K2" s="5">
        <v>9</v>
      </c>
      <c r="L2" s="5">
        <v>10</v>
      </c>
      <c r="M2" s="5">
        <v>11</v>
      </c>
      <c r="N2" s="5">
        <v>12</v>
      </c>
      <c r="O2" s="5">
        <v>13</v>
      </c>
      <c r="P2" s="5">
        <v>14</v>
      </c>
      <c r="Q2" s="5">
        <v>15</v>
      </c>
      <c r="R2" s="5">
        <v>16</v>
      </c>
      <c r="S2" s="5">
        <v>17</v>
      </c>
      <c r="T2" s="5">
        <v>18</v>
      </c>
      <c r="U2" s="5">
        <v>19</v>
      </c>
      <c r="V2" s="5">
        <v>20</v>
      </c>
      <c r="W2" s="5">
        <v>21</v>
      </c>
      <c r="X2" s="5">
        <v>22</v>
      </c>
      <c r="Y2" s="5">
        <v>23</v>
      </c>
      <c r="Z2" s="5">
        <v>24</v>
      </c>
      <c r="AA2" s="5">
        <v>25</v>
      </c>
      <c r="AB2" s="5">
        <v>26</v>
      </c>
      <c r="AC2" s="5">
        <v>27</v>
      </c>
      <c r="AD2" s="5">
        <v>28</v>
      </c>
      <c r="AE2" s="5">
        <v>29</v>
      </c>
      <c r="AF2" s="5">
        <v>30</v>
      </c>
      <c r="AG2" s="5">
        <v>31</v>
      </c>
      <c r="AH2" s="5">
        <v>32</v>
      </c>
      <c r="AI2" s="5">
        <v>33</v>
      </c>
      <c r="AJ2" s="5">
        <v>34</v>
      </c>
      <c r="AK2" s="5">
        <v>35</v>
      </c>
      <c r="AL2" s="5">
        <v>36</v>
      </c>
      <c r="AM2" s="5">
        <v>37</v>
      </c>
      <c r="AN2" s="5">
        <v>38</v>
      </c>
      <c r="AO2" s="5">
        <v>39</v>
      </c>
      <c r="AP2" s="5">
        <v>40</v>
      </c>
      <c r="AQ2" s="5">
        <v>41</v>
      </c>
      <c r="AR2" s="5">
        <v>42</v>
      </c>
      <c r="AS2" s="5">
        <v>43</v>
      </c>
      <c r="AT2" s="5">
        <v>44</v>
      </c>
      <c r="AU2" s="5">
        <v>45</v>
      </c>
      <c r="AV2" s="5">
        <v>46</v>
      </c>
      <c r="AW2" s="5">
        <v>47</v>
      </c>
      <c r="AX2" s="5">
        <v>48</v>
      </c>
      <c r="AY2" s="5">
        <v>49</v>
      </c>
      <c r="AZ2" s="5">
        <v>50</v>
      </c>
      <c r="BA2" s="5">
        <v>51</v>
      </c>
      <c r="BB2" s="5">
        <v>52</v>
      </c>
    </row>
    <row r="3" spans="1:54" s="45" customFormat="1" ht="24.75" thickBot="1" x14ac:dyDescent="0.25">
      <c r="A3" s="6"/>
      <c r="B3" s="50" t="s">
        <v>179</v>
      </c>
      <c r="C3" s="51">
        <v>46026</v>
      </c>
      <c r="D3" s="51">
        <v>46033</v>
      </c>
      <c r="E3" s="51">
        <v>46040</v>
      </c>
      <c r="F3" s="51">
        <v>46047</v>
      </c>
      <c r="G3" s="51">
        <v>46054</v>
      </c>
      <c r="H3" s="51">
        <v>46061</v>
      </c>
      <c r="I3" s="51">
        <v>46068</v>
      </c>
      <c r="J3" s="51">
        <v>46075</v>
      </c>
      <c r="K3" s="51">
        <v>46082</v>
      </c>
      <c r="L3" s="51">
        <v>46089</v>
      </c>
      <c r="M3" s="51">
        <v>46096</v>
      </c>
      <c r="N3" s="51">
        <v>46103</v>
      </c>
      <c r="O3" s="51">
        <v>46110</v>
      </c>
      <c r="P3" s="51">
        <v>46117</v>
      </c>
      <c r="Q3" s="51">
        <v>46124</v>
      </c>
      <c r="R3" s="51">
        <v>46131</v>
      </c>
      <c r="S3" s="51">
        <v>46138</v>
      </c>
      <c r="T3" s="51">
        <v>46145</v>
      </c>
      <c r="U3" s="51">
        <v>46152</v>
      </c>
      <c r="V3" s="51">
        <v>46159</v>
      </c>
      <c r="W3" s="51">
        <v>46166</v>
      </c>
      <c r="X3" s="51">
        <v>46173</v>
      </c>
      <c r="Y3" s="51">
        <v>46180</v>
      </c>
      <c r="Z3" s="51">
        <v>46187</v>
      </c>
      <c r="AA3" s="51">
        <v>46194</v>
      </c>
      <c r="AB3" s="51">
        <v>46201</v>
      </c>
      <c r="AC3" s="51">
        <v>46208</v>
      </c>
      <c r="AD3" s="51">
        <v>46215</v>
      </c>
      <c r="AE3" s="51">
        <v>46222</v>
      </c>
      <c r="AF3" s="51">
        <v>46229</v>
      </c>
      <c r="AG3" s="51">
        <v>46236</v>
      </c>
      <c r="AH3" s="51">
        <v>46243</v>
      </c>
      <c r="AI3" s="51">
        <v>46250</v>
      </c>
      <c r="AJ3" s="51">
        <v>46257</v>
      </c>
      <c r="AK3" s="51">
        <v>46264</v>
      </c>
      <c r="AL3" s="51">
        <v>46271</v>
      </c>
      <c r="AM3" s="51">
        <v>46278</v>
      </c>
      <c r="AN3" s="51">
        <v>46285</v>
      </c>
      <c r="AO3" s="51">
        <v>46292</v>
      </c>
      <c r="AP3" s="51">
        <v>46299</v>
      </c>
      <c r="AQ3" s="51">
        <v>46306</v>
      </c>
      <c r="AR3" s="51">
        <v>46313</v>
      </c>
      <c r="AS3" s="51">
        <v>46320</v>
      </c>
      <c r="AT3" s="51">
        <v>46327</v>
      </c>
      <c r="AU3" s="51">
        <v>46334</v>
      </c>
      <c r="AV3" s="51">
        <v>46341</v>
      </c>
      <c r="AW3" s="51">
        <v>46348</v>
      </c>
      <c r="AX3" s="51">
        <v>46355</v>
      </c>
      <c r="AY3" s="51">
        <v>46362</v>
      </c>
      <c r="AZ3" s="51">
        <v>46369</v>
      </c>
      <c r="BA3" s="51">
        <v>46376</v>
      </c>
      <c r="BB3" s="51">
        <v>46383</v>
      </c>
    </row>
    <row r="4" spans="1:54" x14ac:dyDescent="0.2">
      <c r="A4" s="9" t="s">
        <v>180</v>
      </c>
      <c r="B4" s="10"/>
      <c r="C4" s="11">
        <v>4974</v>
      </c>
      <c r="D4" s="11">
        <v>4902</v>
      </c>
      <c r="E4" s="11">
        <v>4898</v>
      </c>
      <c r="F4" s="11">
        <v>4975</v>
      </c>
      <c r="G4" s="11">
        <v>4933</v>
      </c>
      <c r="H4" s="11">
        <v>4930</v>
      </c>
      <c r="I4" s="11">
        <v>4906</v>
      </c>
      <c r="J4" s="11">
        <v>5264</v>
      </c>
      <c r="K4" s="11">
        <v>4919</v>
      </c>
      <c r="L4" s="11">
        <v>4996</v>
      </c>
      <c r="M4" s="11">
        <v>4863</v>
      </c>
      <c r="N4" s="11">
        <v>5243</v>
      </c>
      <c r="O4" s="11">
        <v>5263</v>
      </c>
      <c r="P4" s="11">
        <v>5292</v>
      </c>
      <c r="Q4" s="11">
        <v>5365</v>
      </c>
      <c r="R4" s="11">
        <v>5242</v>
      </c>
      <c r="S4" s="11">
        <v>5035</v>
      </c>
      <c r="T4" s="11">
        <v>4767</v>
      </c>
      <c r="U4" s="11">
        <v>5291</v>
      </c>
      <c r="V4" s="11">
        <v>5222</v>
      </c>
      <c r="W4" s="11">
        <v>5376</v>
      </c>
      <c r="X4" s="11">
        <v>5105</v>
      </c>
      <c r="Y4" s="11">
        <v>5220</v>
      </c>
      <c r="Z4" s="11">
        <v>4953</v>
      </c>
      <c r="AA4" s="11">
        <v>5026</v>
      </c>
      <c r="AB4" s="11">
        <v>4815</v>
      </c>
      <c r="AC4" s="11">
        <v>0</v>
      </c>
      <c r="AD4" s="11">
        <v>0</v>
      </c>
      <c r="AE4" s="11">
        <v>0</v>
      </c>
      <c r="AF4" s="11">
        <v>0</v>
      </c>
      <c r="AG4" s="11">
        <v>0</v>
      </c>
      <c r="AH4" s="11">
        <v>0</v>
      </c>
      <c r="AI4" s="11">
        <v>0</v>
      </c>
      <c r="AJ4" s="11">
        <v>0</v>
      </c>
      <c r="AK4" s="11">
        <v>0</v>
      </c>
      <c r="AL4" s="11">
        <v>0</v>
      </c>
      <c r="AM4" s="11">
        <v>0</v>
      </c>
      <c r="AN4" s="11">
        <v>0</v>
      </c>
      <c r="AO4" s="11">
        <v>0</v>
      </c>
      <c r="AP4" s="11">
        <v>0</v>
      </c>
      <c r="AQ4" s="11">
        <v>0</v>
      </c>
      <c r="AR4" s="11">
        <v>0</v>
      </c>
      <c r="AS4" s="11">
        <v>0</v>
      </c>
      <c r="AT4" s="11">
        <v>0</v>
      </c>
      <c r="AU4" s="11">
        <v>0</v>
      </c>
      <c r="AV4" s="11">
        <v>0</v>
      </c>
      <c r="AW4" s="11">
        <v>0</v>
      </c>
      <c r="AX4" s="11">
        <v>0</v>
      </c>
      <c r="AY4" s="11">
        <v>0</v>
      </c>
      <c r="AZ4" s="11">
        <v>0</v>
      </c>
      <c r="BA4" s="11">
        <v>0</v>
      </c>
      <c r="BB4" s="11">
        <v>0</v>
      </c>
    </row>
    <row r="5" spans="1:54" x14ac:dyDescent="0.2">
      <c r="A5" s="12"/>
      <c r="B5" s="15" t="s">
        <v>181</v>
      </c>
      <c r="C5" s="13">
        <v>1932</v>
      </c>
      <c r="D5" s="13">
        <v>2016</v>
      </c>
      <c r="E5" s="13">
        <v>1971</v>
      </c>
      <c r="F5" s="13">
        <v>2055</v>
      </c>
      <c r="G5" s="13">
        <v>2005</v>
      </c>
      <c r="H5" s="13">
        <v>2007</v>
      </c>
      <c r="I5" s="13">
        <v>1953</v>
      </c>
      <c r="J5" s="13">
        <v>2045</v>
      </c>
      <c r="K5" s="13">
        <v>1961</v>
      </c>
      <c r="L5" s="13">
        <v>1953</v>
      </c>
      <c r="M5" s="13">
        <v>1950</v>
      </c>
      <c r="N5" s="13">
        <v>2089</v>
      </c>
      <c r="O5" s="13">
        <v>2175</v>
      </c>
      <c r="P5" s="13">
        <v>2177</v>
      </c>
      <c r="Q5" s="13">
        <v>2468</v>
      </c>
      <c r="R5" s="13">
        <v>2433</v>
      </c>
      <c r="S5" s="13">
        <v>2262</v>
      </c>
      <c r="T5" s="13">
        <v>2218</v>
      </c>
      <c r="U5" s="13">
        <v>2348</v>
      </c>
      <c r="V5" s="13">
        <v>2197</v>
      </c>
      <c r="W5" s="13">
        <v>2322</v>
      </c>
      <c r="X5" s="13">
        <v>2124</v>
      </c>
      <c r="Y5" s="13">
        <v>2318</v>
      </c>
      <c r="Z5" s="13">
        <v>2165</v>
      </c>
      <c r="AA5" s="13">
        <v>2230</v>
      </c>
      <c r="AB5" s="13">
        <v>1991</v>
      </c>
      <c r="AC5" s="13">
        <v>0</v>
      </c>
      <c r="AD5" s="13">
        <v>0</v>
      </c>
      <c r="AE5" s="13">
        <v>0</v>
      </c>
      <c r="AF5" s="13">
        <v>0</v>
      </c>
      <c r="AG5" s="13">
        <v>0</v>
      </c>
      <c r="AH5" s="13">
        <v>0</v>
      </c>
      <c r="AI5" s="13">
        <v>0</v>
      </c>
      <c r="AJ5" s="13">
        <v>0</v>
      </c>
      <c r="AK5" s="13">
        <v>0</v>
      </c>
      <c r="AL5" s="13">
        <v>0</v>
      </c>
      <c r="AM5" s="13">
        <v>0</v>
      </c>
      <c r="AN5" s="13">
        <v>0</v>
      </c>
      <c r="AO5" s="13">
        <v>0</v>
      </c>
      <c r="AP5" s="13">
        <v>0</v>
      </c>
      <c r="AQ5" s="13">
        <v>0</v>
      </c>
      <c r="AR5" s="13">
        <v>0</v>
      </c>
      <c r="AS5" s="13">
        <v>0</v>
      </c>
      <c r="AT5" s="13">
        <v>0</v>
      </c>
      <c r="AU5" s="13">
        <v>0</v>
      </c>
      <c r="AV5" s="13">
        <v>0</v>
      </c>
      <c r="AW5" s="13">
        <v>0</v>
      </c>
      <c r="AX5" s="13">
        <v>0</v>
      </c>
      <c r="AY5" s="13">
        <v>0</v>
      </c>
      <c r="AZ5" s="13">
        <v>0</v>
      </c>
      <c r="BA5" s="13">
        <v>0</v>
      </c>
      <c r="BB5" s="13">
        <v>0</v>
      </c>
    </row>
    <row r="6" spans="1:54" x14ac:dyDescent="0.2">
      <c r="A6" s="12"/>
      <c r="B6" s="15" t="s">
        <v>182</v>
      </c>
      <c r="C6" s="13">
        <v>420</v>
      </c>
      <c r="D6" s="13">
        <v>425</v>
      </c>
      <c r="E6" s="13">
        <v>445</v>
      </c>
      <c r="F6" s="13">
        <v>440</v>
      </c>
      <c r="G6" s="13">
        <v>458</v>
      </c>
      <c r="H6" s="13">
        <v>371</v>
      </c>
      <c r="I6" s="13">
        <v>452</v>
      </c>
      <c r="J6" s="13">
        <v>552</v>
      </c>
      <c r="K6" s="13">
        <v>370</v>
      </c>
      <c r="L6" s="13">
        <v>495</v>
      </c>
      <c r="M6" s="13">
        <v>477</v>
      </c>
      <c r="N6" s="13">
        <v>490</v>
      </c>
      <c r="O6" s="13">
        <v>424</v>
      </c>
      <c r="P6" s="13">
        <v>453</v>
      </c>
      <c r="Q6" s="13">
        <v>479</v>
      </c>
      <c r="R6" s="13">
        <v>485</v>
      </c>
      <c r="S6" s="13">
        <v>504</v>
      </c>
      <c r="T6" s="13">
        <v>489</v>
      </c>
      <c r="U6" s="13">
        <v>508</v>
      </c>
      <c r="V6" s="13">
        <v>499</v>
      </c>
      <c r="W6" s="13">
        <v>543</v>
      </c>
      <c r="X6" s="13">
        <v>490</v>
      </c>
      <c r="Y6" s="13">
        <v>475</v>
      </c>
      <c r="Z6" s="13">
        <v>540</v>
      </c>
      <c r="AA6" s="13">
        <v>482</v>
      </c>
      <c r="AB6" s="13">
        <v>411</v>
      </c>
      <c r="AC6" s="13">
        <v>0</v>
      </c>
      <c r="AD6" s="13">
        <v>0</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v>0</v>
      </c>
      <c r="AW6" s="13">
        <v>0</v>
      </c>
      <c r="AX6" s="13">
        <v>0</v>
      </c>
      <c r="AY6" s="13">
        <v>0</v>
      </c>
      <c r="AZ6" s="13">
        <v>0</v>
      </c>
      <c r="BA6" s="13">
        <v>0</v>
      </c>
      <c r="BB6" s="13">
        <v>0</v>
      </c>
    </row>
    <row r="7" spans="1:54" x14ac:dyDescent="0.2">
      <c r="A7" s="12"/>
      <c r="B7" s="15" t="s">
        <v>183</v>
      </c>
      <c r="C7" s="13">
        <v>2622</v>
      </c>
      <c r="D7" s="13">
        <v>2461</v>
      </c>
      <c r="E7" s="13">
        <v>2482</v>
      </c>
      <c r="F7" s="13">
        <v>2480</v>
      </c>
      <c r="G7" s="13">
        <v>2470</v>
      </c>
      <c r="H7" s="13">
        <v>2552</v>
      </c>
      <c r="I7" s="13">
        <v>2501</v>
      </c>
      <c r="J7" s="13">
        <v>2667</v>
      </c>
      <c r="K7" s="13">
        <v>2588</v>
      </c>
      <c r="L7" s="13">
        <v>2548</v>
      </c>
      <c r="M7" s="13">
        <v>2436</v>
      </c>
      <c r="N7" s="13">
        <v>2664</v>
      </c>
      <c r="O7" s="13">
        <v>2664</v>
      </c>
      <c r="P7" s="13">
        <v>2662</v>
      </c>
      <c r="Q7" s="13">
        <v>2418</v>
      </c>
      <c r="R7" s="13">
        <v>2324</v>
      </c>
      <c r="S7" s="13">
        <v>2269</v>
      </c>
      <c r="T7" s="13">
        <v>2060</v>
      </c>
      <c r="U7" s="13">
        <v>2435</v>
      </c>
      <c r="V7" s="13">
        <v>2526</v>
      </c>
      <c r="W7" s="13">
        <v>2511</v>
      </c>
      <c r="X7" s="13">
        <v>2491</v>
      </c>
      <c r="Y7" s="13">
        <v>2427</v>
      </c>
      <c r="Z7" s="13">
        <v>2248</v>
      </c>
      <c r="AA7" s="13">
        <v>2314</v>
      </c>
      <c r="AB7" s="13">
        <v>2413</v>
      </c>
      <c r="AC7" s="13">
        <v>0</v>
      </c>
      <c r="AD7" s="13">
        <v>0</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v>0</v>
      </c>
      <c r="AW7" s="13">
        <v>0</v>
      </c>
      <c r="AX7" s="13">
        <v>0</v>
      </c>
      <c r="AY7" s="13">
        <v>0</v>
      </c>
      <c r="AZ7" s="13">
        <v>0</v>
      </c>
      <c r="BA7" s="13">
        <v>0</v>
      </c>
      <c r="BB7" s="13">
        <v>0</v>
      </c>
    </row>
    <row r="8" spans="1:54" x14ac:dyDescent="0.2">
      <c r="A8" s="12"/>
      <c r="B8" s="15"/>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row>
    <row r="9" spans="1:54" x14ac:dyDescent="0.2">
      <c r="A9" s="16" t="s">
        <v>184</v>
      </c>
      <c r="B9" s="12"/>
      <c r="C9" s="11">
        <v>17198</v>
      </c>
      <c r="D9" s="11">
        <v>17699</v>
      </c>
      <c r="E9" s="11">
        <v>16452</v>
      </c>
      <c r="F9" s="11">
        <v>15487</v>
      </c>
      <c r="G9" s="11">
        <v>17818</v>
      </c>
      <c r="H9" s="11">
        <v>17650</v>
      </c>
      <c r="I9" s="11">
        <v>17555</v>
      </c>
      <c r="J9" s="11">
        <v>17570</v>
      </c>
      <c r="K9" s="11">
        <v>17155</v>
      </c>
      <c r="L9" s="11">
        <v>17367</v>
      </c>
      <c r="M9" s="11">
        <v>17787</v>
      </c>
      <c r="N9" s="11">
        <v>17182</v>
      </c>
      <c r="O9" s="11">
        <v>17787</v>
      </c>
      <c r="P9" s="11">
        <v>16708</v>
      </c>
      <c r="Q9" s="11">
        <v>17362</v>
      </c>
      <c r="R9" s="11">
        <v>17031</v>
      </c>
      <c r="S9" s="11">
        <v>17683</v>
      </c>
      <c r="T9" s="11">
        <v>18055</v>
      </c>
      <c r="U9" s="11">
        <v>17553</v>
      </c>
      <c r="V9" s="11">
        <v>16791</v>
      </c>
      <c r="W9" s="11">
        <v>16995</v>
      </c>
      <c r="X9" s="11">
        <v>16142</v>
      </c>
      <c r="Y9" s="11">
        <v>17036</v>
      </c>
      <c r="Z9" s="11">
        <v>16247</v>
      </c>
      <c r="AA9" s="11">
        <v>16388</v>
      </c>
      <c r="AB9" s="11">
        <v>15499</v>
      </c>
      <c r="AC9" s="11">
        <v>0</v>
      </c>
      <c r="AD9" s="11">
        <v>0</v>
      </c>
      <c r="AE9" s="11">
        <v>0</v>
      </c>
      <c r="AF9" s="11">
        <v>0</v>
      </c>
      <c r="AG9" s="11">
        <v>0</v>
      </c>
      <c r="AH9" s="11">
        <v>0</v>
      </c>
      <c r="AI9" s="11">
        <v>0</v>
      </c>
      <c r="AJ9" s="11">
        <v>0</v>
      </c>
      <c r="AK9" s="11">
        <v>0</v>
      </c>
      <c r="AL9" s="11">
        <v>0</v>
      </c>
      <c r="AM9" s="11">
        <v>0</v>
      </c>
      <c r="AN9" s="11">
        <v>0</v>
      </c>
      <c r="AO9" s="11">
        <v>0</v>
      </c>
      <c r="AP9" s="11">
        <v>0</v>
      </c>
      <c r="AQ9" s="11">
        <v>0</v>
      </c>
      <c r="AR9" s="11">
        <v>0</v>
      </c>
      <c r="AS9" s="11">
        <v>0</v>
      </c>
      <c r="AT9" s="11">
        <v>0</v>
      </c>
      <c r="AU9" s="11">
        <v>0</v>
      </c>
      <c r="AV9" s="11">
        <v>0</v>
      </c>
      <c r="AW9" s="11">
        <v>0</v>
      </c>
      <c r="AX9" s="11">
        <v>0</v>
      </c>
      <c r="AY9" s="11">
        <v>0</v>
      </c>
      <c r="AZ9" s="11">
        <v>0</v>
      </c>
      <c r="BA9" s="11">
        <v>0</v>
      </c>
      <c r="BB9" s="11">
        <v>0</v>
      </c>
    </row>
    <row r="10" spans="1:54" x14ac:dyDescent="0.2">
      <c r="A10" s="12"/>
      <c r="B10" s="15" t="s">
        <v>185</v>
      </c>
      <c r="C10" s="13">
        <v>8640</v>
      </c>
      <c r="D10" s="13">
        <v>9243</v>
      </c>
      <c r="E10" s="13">
        <v>8366</v>
      </c>
      <c r="F10" s="13">
        <v>7933</v>
      </c>
      <c r="G10" s="13">
        <v>9465</v>
      </c>
      <c r="H10" s="13">
        <v>9163</v>
      </c>
      <c r="I10" s="13">
        <v>9432</v>
      </c>
      <c r="J10" s="13">
        <v>9398</v>
      </c>
      <c r="K10" s="13">
        <v>9289</v>
      </c>
      <c r="L10" s="13">
        <v>9318</v>
      </c>
      <c r="M10" s="13">
        <v>9781</v>
      </c>
      <c r="N10" s="13">
        <v>9421</v>
      </c>
      <c r="O10" s="13">
        <v>9163</v>
      </c>
      <c r="P10" s="13">
        <v>9220</v>
      </c>
      <c r="Q10" s="13">
        <v>8944</v>
      </c>
      <c r="R10" s="13">
        <v>9037</v>
      </c>
      <c r="S10" s="13">
        <v>9898</v>
      </c>
      <c r="T10" s="13">
        <v>9610</v>
      </c>
      <c r="U10" s="13">
        <v>9641</v>
      </c>
      <c r="V10" s="13">
        <v>8645</v>
      </c>
      <c r="W10" s="13">
        <v>9140</v>
      </c>
      <c r="X10" s="13">
        <v>9058</v>
      </c>
      <c r="Y10" s="13">
        <v>8962</v>
      </c>
      <c r="Z10" s="13">
        <v>8766</v>
      </c>
      <c r="AA10" s="13">
        <v>8800</v>
      </c>
      <c r="AB10" s="13">
        <v>7948</v>
      </c>
      <c r="AC10" s="13">
        <v>0</v>
      </c>
      <c r="AD10" s="13">
        <v>0</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v>0</v>
      </c>
      <c r="AW10" s="13">
        <v>0</v>
      </c>
      <c r="AX10" s="13">
        <v>0</v>
      </c>
      <c r="AY10" s="13">
        <v>0</v>
      </c>
      <c r="AZ10" s="13">
        <v>0</v>
      </c>
      <c r="BA10" s="13">
        <v>0</v>
      </c>
      <c r="BB10" s="13">
        <v>0</v>
      </c>
    </row>
    <row r="11" spans="1:54" x14ac:dyDescent="0.2">
      <c r="A11" s="12"/>
      <c r="B11" s="15" t="s">
        <v>186</v>
      </c>
      <c r="C11" s="13">
        <v>7343</v>
      </c>
      <c r="D11" s="13">
        <v>7217</v>
      </c>
      <c r="E11" s="13">
        <v>7090</v>
      </c>
      <c r="F11" s="13">
        <v>6346</v>
      </c>
      <c r="G11" s="13">
        <v>7197</v>
      </c>
      <c r="H11" s="13">
        <v>7512</v>
      </c>
      <c r="I11" s="13">
        <v>6943</v>
      </c>
      <c r="J11" s="13">
        <v>7041</v>
      </c>
      <c r="K11" s="13">
        <v>7062</v>
      </c>
      <c r="L11" s="13">
        <v>6888</v>
      </c>
      <c r="M11" s="13">
        <v>6770</v>
      </c>
      <c r="N11" s="13">
        <v>6738</v>
      </c>
      <c r="O11" s="13">
        <v>7212</v>
      </c>
      <c r="P11" s="13">
        <v>6001</v>
      </c>
      <c r="Q11" s="13">
        <v>7036</v>
      </c>
      <c r="R11" s="13">
        <v>6721</v>
      </c>
      <c r="S11" s="13">
        <v>6417</v>
      </c>
      <c r="T11" s="13">
        <v>7096</v>
      </c>
      <c r="U11" s="13">
        <v>6447</v>
      </c>
      <c r="V11" s="13">
        <v>6931</v>
      </c>
      <c r="W11" s="13">
        <v>6693</v>
      </c>
      <c r="X11" s="13">
        <v>6155</v>
      </c>
      <c r="Y11" s="13">
        <v>6793</v>
      </c>
      <c r="Z11" s="13">
        <v>6589</v>
      </c>
      <c r="AA11" s="13">
        <v>6701</v>
      </c>
      <c r="AB11" s="13">
        <v>6455</v>
      </c>
      <c r="AC11" s="13">
        <v>0</v>
      </c>
      <c r="AD11" s="13">
        <v>0</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v>0</v>
      </c>
      <c r="AW11" s="13">
        <v>0</v>
      </c>
      <c r="AX11" s="13">
        <v>0</v>
      </c>
      <c r="AY11" s="13">
        <v>0</v>
      </c>
      <c r="AZ11" s="13">
        <v>0</v>
      </c>
      <c r="BA11" s="13">
        <v>0</v>
      </c>
      <c r="BB11" s="13">
        <v>0</v>
      </c>
    </row>
    <row r="12" spans="1:54" x14ac:dyDescent="0.2">
      <c r="A12" s="12"/>
      <c r="B12" s="15" t="s">
        <v>187</v>
      </c>
      <c r="C12" s="13">
        <v>1215</v>
      </c>
      <c r="D12" s="13">
        <v>1239</v>
      </c>
      <c r="E12" s="13">
        <v>996</v>
      </c>
      <c r="F12" s="13">
        <v>1208</v>
      </c>
      <c r="G12" s="13">
        <v>1156</v>
      </c>
      <c r="H12" s="13">
        <v>975</v>
      </c>
      <c r="I12" s="13">
        <v>1180</v>
      </c>
      <c r="J12" s="13">
        <v>1131</v>
      </c>
      <c r="K12" s="13">
        <v>804</v>
      </c>
      <c r="L12" s="13">
        <v>1161</v>
      </c>
      <c r="M12" s="13">
        <v>1236</v>
      </c>
      <c r="N12" s="13">
        <v>1023</v>
      </c>
      <c r="O12" s="13">
        <v>1412</v>
      </c>
      <c r="P12" s="13">
        <v>1487</v>
      </c>
      <c r="Q12" s="13">
        <v>1382</v>
      </c>
      <c r="R12" s="13">
        <v>1273</v>
      </c>
      <c r="S12" s="13">
        <v>1368</v>
      </c>
      <c r="T12" s="13">
        <v>1349</v>
      </c>
      <c r="U12" s="13">
        <v>1465</v>
      </c>
      <c r="V12" s="13">
        <v>1215</v>
      </c>
      <c r="W12" s="13">
        <v>1162</v>
      </c>
      <c r="X12" s="13">
        <v>929</v>
      </c>
      <c r="Y12" s="13">
        <v>1281</v>
      </c>
      <c r="Z12" s="13">
        <v>892</v>
      </c>
      <c r="AA12" s="13">
        <v>887</v>
      </c>
      <c r="AB12" s="13">
        <v>1096</v>
      </c>
      <c r="AC12" s="13">
        <v>0</v>
      </c>
      <c r="AD12" s="13">
        <v>0</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v>0</v>
      </c>
      <c r="AW12" s="13">
        <v>0</v>
      </c>
      <c r="AX12" s="13">
        <v>0</v>
      </c>
      <c r="AY12" s="13">
        <v>0</v>
      </c>
      <c r="AZ12" s="13">
        <v>0</v>
      </c>
      <c r="BA12" s="13">
        <v>0</v>
      </c>
      <c r="BB12" s="13">
        <v>0</v>
      </c>
    </row>
    <row r="13" spans="1:54" x14ac:dyDescent="0.2">
      <c r="A13" s="12"/>
      <c r="B13" s="15"/>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row>
    <row r="14" spans="1:54" x14ac:dyDescent="0.2">
      <c r="A14" s="9" t="s">
        <v>188</v>
      </c>
      <c r="B14" s="17"/>
      <c r="C14" s="11">
        <v>13718</v>
      </c>
      <c r="D14" s="11">
        <v>14901</v>
      </c>
      <c r="E14" s="11">
        <v>15199</v>
      </c>
      <c r="F14" s="11">
        <v>13640</v>
      </c>
      <c r="G14" s="11">
        <v>14360</v>
      </c>
      <c r="H14" s="11">
        <v>16508</v>
      </c>
      <c r="I14" s="11">
        <v>15016</v>
      </c>
      <c r="J14" s="11">
        <v>15577</v>
      </c>
      <c r="K14" s="11">
        <v>15173</v>
      </c>
      <c r="L14" s="11">
        <v>15601</v>
      </c>
      <c r="M14" s="11">
        <v>15264</v>
      </c>
      <c r="N14" s="11">
        <v>17249</v>
      </c>
      <c r="O14" s="11">
        <v>13843</v>
      </c>
      <c r="P14" s="11">
        <v>16413</v>
      </c>
      <c r="Q14" s="11">
        <v>15013</v>
      </c>
      <c r="R14" s="11">
        <v>15063</v>
      </c>
      <c r="S14" s="11">
        <v>16978</v>
      </c>
      <c r="T14" s="11">
        <v>14636</v>
      </c>
      <c r="U14" s="11">
        <v>17517</v>
      </c>
      <c r="V14" s="11">
        <v>16757</v>
      </c>
      <c r="W14" s="11">
        <v>17227</v>
      </c>
      <c r="X14" s="11">
        <v>17638</v>
      </c>
      <c r="Y14" s="11">
        <v>16000</v>
      </c>
      <c r="Z14" s="11">
        <v>16151</v>
      </c>
      <c r="AA14" s="11">
        <v>15268</v>
      </c>
      <c r="AB14" s="11">
        <v>16371</v>
      </c>
      <c r="AC14" s="11">
        <v>0</v>
      </c>
      <c r="AD14" s="11">
        <v>0</v>
      </c>
      <c r="AE14" s="11">
        <v>0</v>
      </c>
      <c r="AF14" s="11">
        <v>0</v>
      </c>
      <c r="AG14" s="11">
        <v>0</v>
      </c>
      <c r="AH14" s="11">
        <v>0</v>
      </c>
      <c r="AI14" s="11">
        <v>0</v>
      </c>
      <c r="AJ14" s="11">
        <v>0</v>
      </c>
      <c r="AK14" s="11">
        <v>0</v>
      </c>
      <c r="AL14" s="11">
        <v>0</v>
      </c>
      <c r="AM14" s="11">
        <v>0</v>
      </c>
      <c r="AN14" s="11">
        <v>0</v>
      </c>
      <c r="AO14" s="11">
        <v>0</v>
      </c>
      <c r="AP14" s="11">
        <v>0</v>
      </c>
      <c r="AQ14" s="11">
        <v>0</v>
      </c>
      <c r="AR14" s="11">
        <v>0</v>
      </c>
      <c r="AS14" s="11">
        <v>0</v>
      </c>
      <c r="AT14" s="11">
        <v>0</v>
      </c>
      <c r="AU14" s="11">
        <v>0</v>
      </c>
      <c r="AV14" s="11">
        <v>0</v>
      </c>
      <c r="AW14" s="11">
        <v>0</v>
      </c>
      <c r="AX14" s="11">
        <v>0</v>
      </c>
      <c r="AY14" s="11">
        <v>0</v>
      </c>
      <c r="AZ14" s="11">
        <v>0</v>
      </c>
      <c r="BA14" s="11">
        <v>0</v>
      </c>
      <c r="BB14" s="11">
        <v>0</v>
      </c>
    </row>
    <row r="15" spans="1:54" x14ac:dyDescent="0.2">
      <c r="A15" s="12"/>
      <c r="B15" s="15" t="s">
        <v>189</v>
      </c>
      <c r="C15" s="13">
        <v>1617</v>
      </c>
      <c r="D15" s="13">
        <v>2213</v>
      </c>
      <c r="E15" s="13">
        <v>2060</v>
      </c>
      <c r="F15" s="13">
        <v>1454</v>
      </c>
      <c r="G15" s="13">
        <v>2445</v>
      </c>
      <c r="H15" s="13">
        <v>2284</v>
      </c>
      <c r="I15" s="13">
        <v>2118</v>
      </c>
      <c r="J15" s="13">
        <v>1963</v>
      </c>
      <c r="K15" s="13">
        <v>1961</v>
      </c>
      <c r="L15" s="13">
        <v>2224</v>
      </c>
      <c r="M15" s="13">
        <v>2149</v>
      </c>
      <c r="N15" s="13">
        <v>2890</v>
      </c>
      <c r="O15" s="13">
        <v>2361</v>
      </c>
      <c r="P15" s="13">
        <v>2682</v>
      </c>
      <c r="Q15" s="13">
        <v>2780</v>
      </c>
      <c r="R15" s="13">
        <v>2703</v>
      </c>
      <c r="S15" s="13">
        <v>2590</v>
      </c>
      <c r="T15" s="13">
        <v>3474</v>
      </c>
      <c r="U15" s="13">
        <v>2964</v>
      </c>
      <c r="V15" s="13">
        <v>3108</v>
      </c>
      <c r="W15" s="13">
        <v>3211</v>
      </c>
      <c r="X15" s="13">
        <v>2932</v>
      </c>
      <c r="Y15" s="13">
        <v>3006</v>
      </c>
      <c r="Z15" s="13">
        <v>2749</v>
      </c>
      <c r="AA15" s="13">
        <v>2737</v>
      </c>
      <c r="AB15" s="13">
        <v>2731</v>
      </c>
      <c r="AC15" s="13">
        <v>0</v>
      </c>
      <c r="AD15" s="13">
        <v>0</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v>0</v>
      </c>
      <c r="AW15" s="13">
        <v>0</v>
      </c>
      <c r="AX15" s="13">
        <v>0</v>
      </c>
      <c r="AY15" s="13">
        <v>0</v>
      </c>
      <c r="AZ15" s="13">
        <v>0</v>
      </c>
      <c r="BA15" s="13">
        <v>0</v>
      </c>
      <c r="BB15" s="13">
        <v>0</v>
      </c>
    </row>
    <row r="16" spans="1:54" x14ac:dyDescent="0.2">
      <c r="A16" s="12"/>
      <c r="B16" s="15" t="s">
        <v>190</v>
      </c>
      <c r="C16" s="13">
        <v>1364</v>
      </c>
      <c r="D16" s="13">
        <v>1288</v>
      </c>
      <c r="E16" s="13">
        <v>1281</v>
      </c>
      <c r="F16" s="13">
        <v>1430</v>
      </c>
      <c r="G16" s="13">
        <v>1333</v>
      </c>
      <c r="H16" s="13">
        <v>1265</v>
      </c>
      <c r="I16" s="13">
        <v>1289</v>
      </c>
      <c r="J16" s="13">
        <v>1404</v>
      </c>
      <c r="K16" s="13">
        <v>1358</v>
      </c>
      <c r="L16" s="13">
        <v>1331</v>
      </c>
      <c r="M16" s="13">
        <v>1382</v>
      </c>
      <c r="N16" s="13">
        <v>1442</v>
      </c>
      <c r="O16" s="13">
        <v>1335</v>
      </c>
      <c r="P16" s="13">
        <v>1273</v>
      </c>
      <c r="Q16" s="13">
        <v>1331</v>
      </c>
      <c r="R16" s="13">
        <v>1241</v>
      </c>
      <c r="S16" s="13">
        <v>1331</v>
      </c>
      <c r="T16" s="13">
        <v>1286</v>
      </c>
      <c r="U16" s="13">
        <v>1501</v>
      </c>
      <c r="V16" s="13">
        <v>1397</v>
      </c>
      <c r="W16" s="13">
        <v>1524</v>
      </c>
      <c r="X16" s="13">
        <v>1397</v>
      </c>
      <c r="Y16" s="13">
        <v>1283</v>
      </c>
      <c r="Z16" s="13">
        <v>1500</v>
      </c>
      <c r="AA16" s="13">
        <v>1273</v>
      </c>
      <c r="AB16" s="13">
        <v>1480</v>
      </c>
      <c r="AC16" s="13">
        <v>0</v>
      </c>
      <c r="AD16" s="13">
        <v>0</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v>0</v>
      </c>
      <c r="AW16" s="13">
        <v>0</v>
      </c>
      <c r="AX16" s="13">
        <v>0</v>
      </c>
      <c r="AY16" s="13">
        <v>0</v>
      </c>
      <c r="AZ16" s="13">
        <v>0</v>
      </c>
      <c r="BA16" s="13">
        <v>0</v>
      </c>
      <c r="BB16" s="13">
        <v>0</v>
      </c>
    </row>
    <row r="17" spans="1:54" x14ac:dyDescent="0.2">
      <c r="A17" s="12"/>
      <c r="B17" s="15" t="s">
        <v>191</v>
      </c>
      <c r="C17" s="13">
        <v>8752</v>
      </c>
      <c r="D17" s="13">
        <v>9488</v>
      </c>
      <c r="E17" s="13">
        <v>9958</v>
      </c>
      <c r="F17" s="13">
        <v>9139</v>
      </c>
      <c r="G17" s="13">
        <v>8709</v>
      </c>
      <c r="H17" s="13">
        <v>10958</v>
      </c>
      <c r="I17" s="13">
        <v>9589</v>
      </c>
      <c r="J17" s="13">
        <v>10158</v>
      </c>
      <c r="K17" s="13">
        <v>9633</v>
      </c>
      <c r="L17" s="13">
        <v>9821</v>
      </c>
      <c r="M17" s="13">
        <v>9797</v>
      </c>
      <c r="N17" s="13">
        <v>10701</v>
      </c>
      <c r="O17" s="13">
        <v>8166</v>
      </c>
      <c r="P17" s="13">
        <v>10402</v>
      </c>
      <c r="Q17" s="13">
        <v>8806</v>
      </c>
      <c r="R17" s="13">
        <v>8865</v>
      </c>
      <c r="S17" s="13">
        <v>10759</v>
      </c>
      <c r="T17" s="13">
        <v>7732</v>
      </c>
      <c r="U17" s="13">
        <v>10730</v>
      </c>
      <c r="V17" s="13">
        <v>10070</v>
      </c>
      <c r="W17" s="13">
        <v>10185</v>
      </c>
      <c r="X17" s="13">
        <v>10967</v>
      </c>
      <c r="Y17" s="13">
        <v>9290</v>
      </c>
      <c r="Z17" s="13">
        <v>9548</v>
      </c>
      <c r="AA17" s="13">
        <v>9006</v>
      </c>
      <c r="AB17" s="13">
        <v>10043</v>
      </c>
      <c r="AC17" s="13">
        <v>0</v>
      </c>
      <c r="AD17" s="13">
        <v>0</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v>0</v>
      </c>
      <c r="AW17" s="13">
        <v>0</v>
      </c>
      <c r="AX17" s="13">
        <v>0</v>
      </c>
      <c r="AY17" s="13">
        <v>0</v>
      </c>
      <c r="AZ17" s="13">
        <v>0</v>
      </c>
      <c r="BA17" s="13">
        <v>0</v>
      </c>
      <c r="BB17" s="13">
        <v>0</v>
      </c>
    </row>
    <row r="18" spans="1:54" x14ac:dyDescent="0.2">
      <c r="A18" s="12"/>
      <c r="B18" s="15" t="s">
        <v>192</v>
      </c>
      <c r="C18" s="13">
        <v>880</v>
      </c>
      <c r="D18" s="13">
        <v>870</v>
      </c>
      <c r="E18" s="13">
        <v>780</v>
      </c>
      <c r="F18" s="13">
        <v>715</v>
      </c>
      <c r="G18" s="13">
        <v>865</v>
      </c>
      <c r="H18" s="13">
        <v>928</v>
      </c>
      <c r="I18" s="13">
        <v>921</v>
      </c>
      <c r="J18" s="13">
        <v>961</v>
      </c>
      <c r="K18" s="13">
        <v>1032</v>
      </c>
      <c r="L18" s="13">
        <v>955</v>
      </c>
      <c r="M18" s="13">
        <v>844</v>
      </c>
      <c r="N18" s="13">
        <v>851</v>
      </c>
      <c r="O18" s="13">
        <v>948</v>
      </c>
      <c r="P18" s="13">
        <v>827</v>
      </c>
      <c r="Q18" s="13">
        <v>877</v>
      </c>
      <c r="R18" s="13">
        <v>856</v>
      </c>
      <c r="S18" s="13">
        <v>1052</v>
      </c>
      <c r="T18" s="13">
        <v>988</v>
      </c>
      <c r="U18" s="13">
        <v>1024</v>
      </c>
      <c r="V18" s="13">
        <v>1068</v>
      </c>
      <c r="W18" s="13">
        <v>1180</v>
      </c>
      <c r="X18" s="13">
        <v>1104</v>
      </c>
      <c r="Y18" s="13">
        <v>1110</v>
      </c>
      <c r="Z18" s="13">
        <v>1107</v>
      </c>
      <c r="AA18" s="13">
        <v>1173</v>
      </c>
      <c r="AB18" s="13">
        <v>918</v>
      </c>
      <c r="AC18" s="13">
        <v>0</v>
      </c>
      <c r="AD18" s="13">
        <v>0</v>
      </c>
      <c r="AE18" s="13">
        <v>0</v>
      </c>
      <c r="AF18" s="13">
        <v>0</v>
      </c>
      <c r="AG18" s="13">
        <v>0</v>
      </c>
      <c r="AH18" s="13">
        <v>0</v>
      </c>
      <c r="AI18" s="13">
        <v>0</v>
      </c>
      <c r="AJ18" s="13">
        <v>0</v>
      </c>
      <c r="AK18" s="13">
        <v>0</v>
      </c>
      <c r="AL18" s="13">
        <v>0</v>
      </c>
      <c r="AM18" s="13">
        <v>0</v>
      </c>
      <c r="AN18" s="13">
        <v>0</v>
      </c>
      <c r="AO18" s="13">
        <v>0</v>
      </c>
      <c r="AP18" s="13">
        <v>0</v>
      </c>
      <c r="AQ18" s="13">
        <v>0</v>
      </c>
      <c r="AR18" s="13">
        <v>0</v>
      </c>
      <c r="AS18" s="13">
        <v>0</v>
      </c>
      <c r="AT18" s="13">
        <v>0</v>
      </c>
      <c r="AU18" s="13">
        <v>0</v>
      </c>
      <c r="AV18" s="13">
        <v>0</v>
      </c>
      <c r="AW18" s="13">
        <v>0</v>
      </c>
      <c r="AX18" s="13">
        <v>0</v>
      </c>
      <c r="AY18" s="13">
        <v>0</v>
      </c>
      <c r="AZ18" s="13">
        <v>0</v>
      </c>
      <c r="BA18" s="13">
        <v>0</v>
      </c>
      <c r="BB18" s="13">
        <v>0</v>
      </c>
    </row>
    <row r="19" spans="1:54" x14ac:dyDescent="0.2">
      <c r="A19" s="12"/>
      <c r="B19" s="15" t="s">
        <v>193</v>
      </c>
      <c r="C19" s="13">
        <v>747</v>
      </c>
      <c r="D19" s="13">
        <v>746</v>
      </c>
      <c r="E19" s="13">
        <v>805</v>
      </c>
      <c r="F19" s="13">
        <v>598</v>
      </c>
      <c r="G19" s="13">
        <v>745</v>
      </c>
      <c r="H19" s="13">
        <v>767</v>
      </c>
      <c r="I19" s="13">
        <v>824</v>
      </c>
      <c r="J19" s="13">
        <v>799</v>
      </c>
      <c r="K19" s="13">
        <v>789</v>
      </c>
      <c r="L19" s="13">
        <v>883</v>
      </c>
      <c r="M19" s="13">
        <v>809</v>
      </c>
      <c r="N19" s="13">
        <v>1005</v>
      </c>
      <c r="O19" s="13">
        <v>669</v>
      </c>
      <c r="P19" s="13">
        <v>836</v>
      </c>
      <c r="Q19" s="13">
        <v>853</v>
      </c>
      <c r="R19" s="13">
        <v>1007</v>
      </c>
      <c r="S19" s="13">
        <v>932</v>
      </c>
      <c r="T19" s="13">
        <v>804</v>
      </c>
      <c r="U19" s="13">
        <v>964</v>
      </c>
      <c r="V19" s="13">
        <v>775</v>
      </c>
      <c r="W19" s="13">
        <v>774</v>
      </c>
      <c r="X19" s="13">
        <v>892</v>
      </c>
      <c r="Y19" s="13">
        <v>996</v>
      </c>
      <c r="Z19" s="13">
        <v>924</v>
      </c>
      <c r="AA19" s="13">
        <v>755</v>
      </c>
      <c r="AB19" s="13">
        <v>824</v>
      </c>
      <c r="AC19" s="13">
        <v>0</v>
      </c>
      <c r="AD19" s="13">
        <v>0</v>
      </c>
      <c r="AE19" s="13">
        <v>0</v>
      </c>
      <c r="AF19" s="13">
        <v>0</v>
      </c>
      <c r="AG19" s="13">
        <v>0</v>
      </c>
      <c r="AH19" s="13">
        <v>0</v>
      </c>
      <c r="AI19" s="13">
        <v>0</v>
      </c>
      <c r="AJ19" s="13">
        <v>0</v>
      </c>
      <c r="AK19" s="13">
        <v>0</v>
      </c>
      <c r="AL19" s="13">
        <v>0</v>
      </c>
      <c r="AM19" s="13">
        <v>0</v>
      </c>
      <c r="AN19" s="13">
        <v>0</v>
      </c>
      <c r="AO19" s="13">
        <v>0</v>
      </c>
      <c r="AP19" s="13">
        <v>0</v>
      </c>
      <c r="AQ19" s="13">
        <v>0</v>
      </c>
      <c r="AR19" s="13">
        <v>0</v>
      </c>
      <c r="AS19" s="13">
        <v>0</v>
      </c>
      <c r="AT19" s="13">
        <v>0</v>
      </c>
      <c r="AU19" s="13">
        <v>0</v>
      </c>
      <c r="AV19" s="13">
        <v>0</v>
      </c>
      <c r="AW19" s="13">
        <v>0</v>
      </c>
      <c r="AX19" s="13">
        <v>0</v>
      </c>
      <c r="AY19" s="13">
        <v>0</v>
      </c>
      <c r="AZ19" s="13">
        <v>0</v>
      </c>
      <c r="BA19" s="13">
        <v>0</v>
      </c>
      <c r="BB19" s="13">
        <v>0</v>
      </c>
    </row>
    <row r="20" spans="1:54" x14ac:dyDescent="0.2">
      <c r="A20" s="12"/>
      <c r="B20" s="15" t="s">
        <v>194</v>
      </c>
      <c r="C20" s="13">
        <v>358</v>
      </c>
      <c r="D20" s="13">
        <v>296</v>
      </c>
      <c r="E20" s="13">
        <v>315</v>
      </c>
      <c r="F20" s="13">
        <v>304</v>
      </c>
      <c r="G20" s="13">
        <v>263</v>
      </c>
      <c r="H20" s="13">
        <v>306</v>
      </c>
      <c r="I20" s="13">
        <v>275</v>
      </c>
      <c r="J20" s="13">
        <v>292</v>
      </c>
      <c r="K20" s="13">
        <v>400</v>
      </c>
      <c r="L20" s="13">
        <v>387</v>
      </c>
      <c r="M20" s="13">
        <v>283</v>
      </c>
      <c r="N20" s="13">
        <v>360</v>
      </c>
      <c r="O20" s="13">
        <v>364</v>
      </c>
      <c r="P20" s="13">
        <v>393</v>
      </c>
      <c r="Q20" s="13">
        <v>366</v>
      </c>
      <c r="R20" s="13">
        <v>391</v>
      </c>
      <c r="S20" s="13">
        <v>314</v>
      </c>
      <c r="T20" s="13">
        <v>352</v>
      </c>
      <c r="U20" s="13">
        <v>334</v>
      </c>
      <c r="V20" s="13">
        <v>339</v>
      </c>
      <c r="W20" s="13">
        <v>353</v>
      </c>
      <c r="X20" s="13">
        <v>346</v>
      </c>
      <c r="Y20" s="13">
        <v>315</v>
      </c>
      <c r="Z20" s="13">
        <v>323</v>
      </c>
      <c r="AA20" s="13">
        <v>324</v>
      </c>
      <c r="AB20" s="13">
        <v>375</v>
      </c>
      <c r="AC20" s="13">
        <v>0</v>
      </c>
      <c r="AD20" s="13">
        <v>0</v>
      </c>
      <c r="AE20" s="13">
        <v>0</v>
      </c>
      <c r="AF20" s="13">
        <v>0</v>
      </c>
      <c r="AG20" s="13">
        <v>0</v>
      </c>
      <c r="AH20" s="13">
        <v>0</v>
      </c>
      <c r="AI20" s="13">
        <v>0</v>
      </c>
      <c r="AJ20" s="13">
        <v>0</v>
      </c>
      <c r="AK20" s="13">
        <v>0</v>
      </c>
      <c r="AL20" s="13">
        <v>0</v>
      </c>
      <c r="AM20" s="13">
        <v>0</v>
      </c>
      <c r="AN20" s="13">
        <v>0</v>
      </c>
      <c r="AO20" s="13">
        <v>0</v>
      </c>
      <c r="AP20" s="13">
        <v>0</v>
      </c>
      <c r="AQ20" s="13">
        <v>0</v>
      </c>
      <c r="AR20" s="13">
        <v>0</v>
      </c>
      <c r="AS20" s="13">
        <v>0</v>
      </c>
      <c r="AT20" s="13">
        <v>0</v>
      </c>
      <c r="AU20" s="13">
        <v>0</v>
      </c>
      <c r="AV20" s="13">
        <v>0</v>
      </c>
      <c r="AW20" s="13">
        <v>0</v>
      </c>
      <c r="AX20" s="13">
        <v>0</v>
      </c>
      <c r="AY20" s="13">
        <v>0</v>
      </c>
      <c r="AZ20" s="13">
        <v>0</v>
      </c>
      <c r="BA20" s="13">
        <v>0</v>
      </c>
      <c r="BB20" s="13">
        <v>0</v>
      </c>
    </row>
    <row r="22" spans="1:54" x14ac:dyDescent="0.2">
      <c r="A22" s="9" t="s">
        <v>195</v>
      </c>
      <c r="C22" s="5">
        <v>1670</v>
      </c>
      <c r="D22" s="5">
        <v>1928</v>
      </c>
      <c r="E22" s="5">
        <v>1267</v>
      </c>
      <c r="F22" s="5">
        <v>1539</v>
      </c>
      <c r="G22" s="5">
        <v>1712</v>
      </c>
      <c r="H22" s="5">
        <v>1511</v>
      </c>
      <c r="I22" s="5">
        <v>1660</v>
      </c>
      <c r="J22" s="5">
        <v>1703</v>
      </c>
      <c r="K22" s="5">
        <v>1661</v>
      </c>
      <c r="L22" s="5">
        <v>1472</v>
      </c>
      <c r="M22" s="5">
        <v>1421</v>
      </c>
      <c r="N22" s="5">
        <v>1559</v>
      </c>
      <c r="O22" s="5">
        <v>1389</v>
      </c>
      <c r="P22" s="5">
        <v>1444</v>
      </c>
      <c r="Q22" s="5">
        <v>1592</v>
      </c>
      <c r="R22" s="5">
        <v>1602</v>
      </c>
      <c r="S22" s="5">
        <v>1326</v>
      </c>
      <c r="T22" s="5">
        <v>1431</v>
      </c>
      <c r="U22" s="5">
        <v>1913</v>
      </c>
      <c r="V22" s="5">
        <v>1694</v>
      </c>
      <c r="W22" s="5">
        <v>1346</v>
      </c>
      <c r="X22" s="5">
        <v>1662</v>
      </c>
      <c r="Y22" s="5">
        <v>1398</v>
      </c>
      <c r="Z22" s="5">
        <v>1295</v>
      </c>
      <c r="AA22" s="5">
        <v>1294</v>
      </c>
      <c r="AB22" s="5">
        <v>1178</v>
      </c>
      <c r="AC22" s="5">
        <v>0</v>
      </c>
      <c r="AD22" s="5">
        <v>0</v>
      </c>
      <c r="AE22" s="5">
        <v>0</v>
      </c>
      <c r="AF22" s="5">
        <v>0</v>
      </c>
      <c r="AG22" s="5">
        <v>0</v>
      </c>
      <c r="AH22" s="5">
        <v>0</v>
      </c>
      <c r="AI22" s="5">
        <v>0</v>
      </c>
      <c r="AJ22" s="5">
        <v>0</v>
      </c>
      <c r="AK22" s="5">
        <v>0</v>
      </c>
      <c r="AL22" s="5">
        <v>0</v>
      </c>
      <c r="AM22" s="5">
        <v>0</v>
      </c>
      <c r="AN22" s="5">
        <v>0</v>
      </c>
      <c r="AO22" s="5">
        <v>0</v>
      </c>
      <c r="AP22" s="5">
        <v>0</v>
      </c>
      <c r="AQ22" s="5">
        <v>0</v>
      </c>
      <c r="AR22" s="5">
        <v>0</v>
      </c>
      <c r="AS22" s="5">
        <v>0</v>
      </c>
      <c r="AT22" s="5">
        <v>0</v>
      </c>
      <c r="AU22" s="5">
        <v>0</v>
      </c>
      <c r="AV22" s="5">
        <v>0</v>
      </c>
      <c r="AW22" s="5">
        <v>0</v>
      </c>
      <c r="AX22" s="5">
        <v>0</v>
      </c>
      <c r="AY22" s="5">
        <v>0</v>
      </c>
      <c r="AZ22" s="5">
        <v>0</v>
      </c>
      <c r="BA22" s="5">
        <v>0</v>
      </c>
      <c r="BB22" s="5">
        <v>0</v>
      </c>
    </row>
    <row r="23" spans="1:54" x14ac:dyDescent="0.2">
      <c r="A23" s="12"/>
      <c r="B23" s="15"/>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row>
    <row r="24" spans="1:54" x14ac:dyDescent="0.2">
      <c r="A24" s="9" t="s">
        <v>196</v>
      </c>
      <c r="C24" s="5">
        <v>2426</v>
      </c>
      <c r="D24" s="5">
        <v>2825</v>
      </c>
      <c r="E24" s="5">
        <v>3187</v>
      </c>
      <c r="F24" s="5">
        <v>2968</v>
      </c>
      <c r="G24" s="5">
        <v>3788</v>
      </c>
      <c r="H24" s="5">
        <v>3960</v>
      </c>
      <c r="I24" s="5">
        <v>3904</v>
      </c>
      <c r="J24" s="5">
        <v>4200</v>
      </c>
      <c r="K24" s="5">
        <v>4540</v>
      </c>
      <c r="L24" s="5">
        <v>4390</v>
      </c>
      <c r="M24" s="5">
        <v>4535</v>
      </c>
      <c r="N24" s="5">
        <v>4631</v>
      </c>
      <c r="O24" s="5">
        <v>4564</v>
      </c>
      <c r="P24" s="5">
        <v>4241</v>
      </c>
      <c r="Q24" s="5">
        <v>4226</v>
      </c>
      <c r="R24" s="5">
        <v>4835</v>
      </c>
      <c r="S24" s="5">
        <v>4235</v>
      </c>
      <c r="T24" s="5">
        <v>4503</v>
      </c>
      <c r="U24" s="5">
        <v>4332</v>
      </c>
      <c r="V24" s="5">
        <v>4539</v>
      </c>
      <c r="W24" s="5">
        <v>4662</v>
      </c>
      <c r="X24" s="5">
        <v>4639</v>
      </c>
      <c r="Y24" s="5">
        <v>4669</v>
      </c>
      <c r="Z24" s="5">
        <v>4425</v>
      </c>
      <c r="AA24" s="5">
        <v>4588</v>
      </c>
      <c r="AB24" s="5">
        <v>4096</v>
      </c>
      <c r="AC24" s="5">
        <v>0</v>
      </c>
      <c r="AD24" s="5">
        <v>0</v>
      </c>
      <c r="AE24" s="5">
        <v>0</v>
      </c>
      <c r="AF24" s="5">
        <v>0</v>
      </c>
      <c r="AG24" s="5">
        <v>0</v>
      </c>
      <c r="AH24" s="5">
        <v>0</v>
      </c>
      <c r="AI24" s="5">
        <v>0</v>
      </c>
      <c r="AJ24" s="5">
        <v>0</v>
      </c>
      <c r="AK24" s="5">
        <v>0</v>
      </c>
      <c r="AL24" s="5">
        <v>0</v>
      </c>
      <c r="AM24" s="5">
        <v>0</v>
      </c>
      <c r="AN24" s="5">
        <v>0</v>
      </c>
      <c r="AO24" s="5">
        <v>0</v>
      </c>
      <c r="AP24" s="5">
        <v>0</v>
      </c>
      <c r="AQ24" s="5">
        <v>0</v>
      </c>
      <c r="AR24" s="5">
        <v>0</v>
      </c>
      <c r="AS24" s="5">
        <v>0</v>
      </c>
      <c r="AT24" s="5">
        <v>0</v>
      </c>
      <c r="AU24" s="5">
        <v>0</v>
      </c>
      <c r="AV24" s="5">
        <v>0</v>
      </c>
      <c r="AW24" s="5">
        <v>0</v>
      </c>
      <c r="AX24" s="5">
        <v>0</v>
      </c>
      <c r="AY24" s="5">
        <v>0</v>
      </c>
      <c r="AZ24" s="5">
        <v>0</v>
      </c>
      <c r="BA24" s="5">
        <v>0</v>
      </c>
      <c r="BB24" s="5">
        <v>0</v>
      </c>
    </row>
    <row r="25" spans="1:54" x14ac:dyDescent="0.2">
      <c r="A25" s="12"/>
      <c r="B25" s="15"/>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row>
    <row r="26" spans="1:54" x14ac:dyDescent="0.2">
      <c r="A26" s="18" t="s">
        <v>197</v>
      </c>
      <c r="B26" s="19"/>
      <c r="C26" s="20">
        <v>39986</v>
      </c>
      <c r="D26" s="20">
        <v>42255</v>
      </c>
      <c r="E26" s="20">
        <v>41003</v>
      </c>
      <c r="F26" s="20">
        <v>38609</v>
      </c>
      <c r="G26" s="20">
        <v>42611</v>
      </c>
      <c r="H26" s="20">
        <v>44559</v>
      </c>
      <c r="I26" s="20">
        <v>43041</v>
      </c>
      <c r="J26" s="20">
        <v>44314</v>
      </c>
      <c r="K26" s="20">
        <v>43448</v>
      </c>
      <c r="L26" s="20">
        <v>43826</v>
      </c>
      <c r="M26" s="20">
        <v>43870</v>
      </c>
      <c r="N26" s="20">
        <v>45864</v>
      </c>
      <c r="O26" s="20">
        <v>42846</v>
      </c>
      <c r="P26" s="20">
        <v>44098</v>
      </c>
      <c r="Q26" s="20">
        <v>43558</v>
      </c>
      <c r="R26" s="20">
        <v>43773</v>
      </c>
      <c r="S26" s="20">
        <v>45257</v>
      </c>
      <c r="T26" s="20">
        <v>43392</v>
      </c>
      <c r="U26" s="20">
        <v>46606</v>
      </c>
      <c r="V26" s="20">
        <v>45003</v>
      </c>
      <c r="W26" s="20">
        <v>45606</v>
      </c>
      <c r="X26" s="20">
        <v>45186</v>
      </c>
      <c r="Y26" s="20">
        <v>44323</v>
      </c>
      <c r="Z26" s="20">
        <v>43071</v>
      </c>
      <c r="AA26" s="20">
        <v>42564</v>
      </c>
      <c r="AB26" s="20">
        <v>41959</v>
      </c>
      <c r="AC26" s="20">
        <v>0</v>
      </c>
      <c r="AD26" s="20">
        <v>0</v>
      </c>
      <c r="AE26" s="20">
        <v>0</v>
      </c>
      <c r="AF26" s="20">
        <v>0</v>
      </c>
      <c r="AG26" s="20">
        <v>0</v>
      </c>
      <c r="AH26" s="20">
        <v>0</v>
      </c>
      <c r="AI26" s="20">
        <v>0</v>
      </c>
      <c r="AJ26" s="20">
        <v>0</v>
      </c>
      <c r="AK26" s="20">
        <v>0</v>
      </c>
      <c r="AL26" s="20">
        <v>0</v>
      </c>
      <c r="AM26" s="20">
        <v>0</v>
      </c>
      <c r="AN26" s="20">
        <v>0</v>
      </c>
      <c r="AO26" s="20">
        <v>0</v>
      </c>
      <c r="AP26" s="20">
        <v>0</v>
      </c>
      <c r="AQ26" s="20">
        <v>0</v>
      </c>
      <c r="AR26" s="20">
        <v>0</v>
      </c>
      <c r="AS26" s="20">
        <v>0</v>
      </c>
      <c r="AT26" s="20">
        <v>0</v>
      </c>
      <c r="AU26" s="20">
        <v>0</v>
      </c>
      <c r="AV26" s="20">
        <v>0</v>
      </c>
      <c r="AW26" s="20">
        <v>0</v>
      </c>
      <c r="AX26" s="20">
        <v>0</v>
      </c>
      <c r="AY26" s="20">
        <v>0</v>
      </c>
      <c r="AZ26" s="20">
        <v>0</v>
      </c>
      <c r="BA26" s="20">
        <v>0</v>
      </c>
      <c r="BB26" s="20">
        <v>0</v>
      </c>
    </row>
    <row r="27" spans="1:54" x14ac:dyDescent="0.2">
      <c r="A27" s="12"/>
      <c r="B27" s="15"/>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row>
    <row r="28" spans="1:54" x14ac:dyDescent="0.2">
      <c r="A28" s="9" t="s">
        <v>198</v>
      </c>
      <c r="B28" s="12"/>
      <c r="C28" s="11">
        <v>8793</v>
      </c>
      <c r="D28" s="11">
        <v>9604</v>
      </c>
      <c r="E28" s="11">
        <v>8479</v>
      </c>
      <c r="F28" s="11">
        <v>8172</v>
      </c>
      <c r="G28" s="11">
        <v>7913</v>
      </c>
      <c r="H28" s="11">
        <v>8600</v>
      </c>
      <c r="I28" s="11">
        <v>8803</v>
      </c>
      <c r="J28" s="11">
        <v>8816</v>
      </c>
      <c r="K28" s="11">
        <v>7086</v>
      </c>
      <c r="L28" s="11">
        <v>7822</v>
      </c>
      <c r="M28" s="11">
        <v>8232</v>
      </c>
      <c r="N28" s="11">
        <v>8717</v>
      </c>
      <c r="O28" s="11">
        <v>7927</v>
      </c>
      <c r="P28" s="11">
        <v>9089</v>
      </c>
      <c r="Q28" s="11">
        <v>9177</v>
      </c>
      <c r="R28" s="11">
        <v>9228</v>
      </c>
      <c r="S28" s="11">
        <v>8914</v>
      </c>
      <c r="T28" s="11">
        <v>9104</v>
      </c>
      <c r="U28" s="11">
        <v>7114</v>
      </c>
      <c r="V28" s="11">
        <v>8283</v>
      </c>
      <c r="W28" s="11">
        <v>7885</v>
      </c>
      <c r="X28" s="11">
        <v>8596</v>
      </c>
      <c r="Y28" s="11">
        <v>8428</v>
      </c>
      <c r="Z28" s="11">
        <v>7396</v>
      </c>
      <c r="AA28" s="11">
        <v>8349</v>
      </c>
      <c r="AB28" s="11">
        <v>8766</v>
      </c>
      <c r="AC28" s="11">
        <v>0</v>
      </c>
      <c r="AD28" s="11">
        <v>0</v>
      </c>
      <c r="AE28" s="11">
        <v>0</v>
      </c>
      <c r="AF28" s="11">
        <v>0</v>
      </c>
      <c r="AG28" s="11">
        <v>0</v>
      </c>
      <c r="AH28" s="11">
        <v>0</v>
      </c>
      <c r="AI28" s="11">
        <v>0</v>
      </c>
      <c r="AJ28" s="11">
        <v>0</v>
      </c>
      <c r="AK28" s="11">
        <v>0</v>
      </c>
      <c r="AL28" s="11">
        <v>0</v>
      </c>
      <c r="AM28" s="11">
        <v>0</v>
      </c>
      <c r="AN28" s="11">
        <v>0</v>
      </c>
      <c r="AO28" s="11">
        <v>0</v>
      </c>
      <c r="AP28" s="11">
        <v>0</v>
      </c>
      <c r="AQ28" s="11">
        <v>0</v>
      </c>
      <c r="AR28" s="11">
        <v>0</v>
      </c>
      <c r="AS28" s="11">
        <v>0</v>
      </c>
      <c r="AT28" s="11">
        <v>0</v>
      </c>
      <c r="AU28" s="11">
        <v>0</v>
      </c>
      <c r="AV28" s="11">
        <v>0</v>
      </c>
      <c r="AW28" s="11">
        <v>0</v>
      </c>
      <c r="AX28" s="11">
        <v>0</v>
      </c>
      <c r="AY28" s="11">
        <v>0</v>
      </c>
      <c r="AZ28" s="11">
        <v>0</v>
      </c>
      <c r="BA28" s="11">
        <v>0</v>
      </c>
      <c r="BB28" s="11">
        <v>0</v>
      </c>
    </row>
    <row r="29" spans="1:54" x14ac:dyDescent="0.2">
      <c r="A29" s="12"/>
      <c r="B29" s="15" t="s">
        <v>198</v>
      </c>
      <c r="C29" s="13">
        <v>7576</v>
      </c>
      <c r="D29" s="13">
        <v>8367</v>
      </c>
      <c r="E29" s="13">
        <v>7498</v>
      </c>
      <c r="F29" s="13">
        <v>6982</v>
      </c>
      <c r="G29" s="13">
        <v>6811</v>
      </c>
      <c r="H29" s="13">
        <v>7779</v>
      </c>
      <c r="I29" s="13">
        <v>7488</v>
      </c>
      <c r="J29" s="13">
        <v>7885</v>
      </c>
      <c r="K29" s="13">
        <v>6015</v>
      </c>
      <c r="L29" s="13">
        <v>6492</v>
      </c>
      <c r="M29" s="13">
        <v>7220</v>
      </c>
      <c r="N29" s="13">
        <v>7700</v>
      </c>
      <c r="O29" s="13">
        <v>6842</v>
      </c>
      <c r="P29" s="13">
        <v>8084</v>
      </c>
      <c r="Q29" s="13">
        <v>7825</v>
      </c>
      <c r="R29" s="13">
        <v>8158</v>
      </c>
      <c r="S29" s="13">
        <v>7857</v>
      </c>
      <c r="T29" s="13">
        <v>7971</v>
      </c>
      <c r="U29" s="13">
        <v>5898</v>
      </c>
      <c r="V29" s="13">
        <v>7151</v>
      </c>
      <c r="W29" s="13">
        <v>6781</v>
      </c>
      <c r="X29" s="13">
        <v>7017</v>
      </c>
      <c r="Y29" s="13">
        <v>7206</v>
      </c>
      <c r="Z29" s="13">
        <v>5939</v>
      </c>
      <c r="AA29" s="13">
        <v>7034</v>
      </c>
      <c r="AB29" s="13">
        <v>7607</v>
      </c>
      <c r="AC29" s="13">
        <v>0</v>
      </c>
      <c r="AD29" s="13">
        <v>0</v>
      </c>
      <c r="AE29" s="13">
        <v>0</v>
      </c>
      <c r="AF29" s="13">
        <v>0</v>
      </c>
      <c r="AG29" s="13">
        <v>0</v>
      </c>
      <c r="AH29" s="13">
        <v>0</v>
      </c>
      <c r="AI29" s="13">
        <v>0</v>
      </c>
      <c r="AJ29" s="13">
        <v>0</v>
      </c>
      <c r="AK29" s="13">
        <v>0</v>
      </c>
      <c r="AL29" s="13">
        <v>0</v>
      </c>
      <c r="AM29" s="13">
        <v>0</v>
      </c>
      <c r="AN29" s="13">
        <v>0</v>
      </c>
      <c r="AO29" s="13">
        <v>0</v>
      </c>
      <c r="AP29" s="13">
        <v>0</v>
      </c>
      <c r="AQ29" s="13">
        <v>0</v>
      </c>
      <c r="AR29" s="13">
        <v>0</v>
      </c>
      <c r="AS29" s="13">
        <v>0</v>
      </c>
      <c r="AT29" s="13">
        <v>0</v>
      </c>
      <c r="AU29" s="13">
        <v>0</v>
      </c>
      <c r="AV29" s="13">
        <v>0</v>
      </c>
      <c r="AW29" s="13">
        <v>0</v>
      </c>
      <c r="AX29" s="13">
        <v>0</v>
      </c>
      <c r="AY29" s="13">
        <v>0</v>
      </c>
      <c r="AZ29" s="13">
        <v>0</v>
      </c>
      <c r="BA29" s="13">
        <v>0</v>
      </c>
      <c r="BB29" s="13">
        <v>0</v>
      </c>
    </row>
    <row r="30" spans="1:54" x14ac:dyDescent="0.2">
      <c r="A30" s="12"/>
      <c r="B30" s="15" t="s">
        <v>199</v>
      </c>
      <c r="C30" s="13">
        <v>1217</v>
      </c>
      <c r="D30" s="13">
        <v>1237</v>
      </c>
      <c r="E30" s="13">
        <v>981</v>
      </c>
      <c r="F30" s="13">
        <v>1190</v>
      </c>
      <c r="G30" s="13">
        <v>1102</v>
      </c>
      <c r="H30" s="13">
        <v>821</v>
      </c>
      <c r="I30" s="13">
        <v>1315</v>
      </c>
      <c r="J30" s="13">
        <v>931</v>
      </c>
      <c r="K30" s="13">
        <v>1071</v>
      </c>
      <c r="L30" s="13">
        <v>1330</v>
      </c>
      <c r="M30" s="13">
        <v>1012</v>
      </c>
      <c r="N30" s="13">
        <v>1017</v>
      </c>
      <c r="O30" s="13">
        <v>1085</v>
      </c>
      <c r="P30" s="13">
        <v>1005</v>
      </c>
      <c r="Q30" s="13">
        <v>1352</v>
      </c>
      <c r="R30" s="13">
        <v>1070</v>
      </c>
      <c r="S30" s="13">
        <v>1057</v>
      </c>
      <c r="T30" s="13">
        <v>1133</v>
      </c>
      <c r="U30" s="13">
        <v>1216</v>
      </c>
      <c r="V30" s="13">
        <v>1132</v>
      </c>
      <c r="W30" s="13">
        <v>1104</v>
      </c>
      <c r="X30" s="13">
        <v>1579</v>
      </c>
      <c r="Y30" s="13">
        <v>1222</v>
      </c>
      <c r="Z30" s="13">
        <v>1457</v>
      </c>
      <c r="AA30" s="13">
        <v>1315</v>
      </c>
      <c r="AB30" s="13">
        <v>1159</v>
      </c>
      <c r="AC30" s="13">
        <v>0</v>
      </c>
      <c r="AD30" s="13">
        <v>0</v>
      </c>
      <c r="AE30" s="13">
        <v>0</v>
      </c>
      <c r="AF30" s="13">
        <v>0</v>
      </c>
      <c r="AG30" s="13">
        <v>0</v>
      </c>
      <c r="AH30" s="13">
        <v>0</v>
      </c>
      <c r="AI30" s="13">
        <v>0</v>
      </c>
      <c r="AJ30" s="13">
        <v>0</v>
      </c>
      <c r="AK30" s="13">
        <v>0</v>
      </c>
      <c r="AL30" s="13">
        <v>0</v>
      </c>
      <c r="AM30" s="13">
        <v>0</v>
      </c>
      <c r="AN30" s="13">
        <v>0</v>
      </c>
      <c r="AO30" s="13">
        <v>0</v>
      </c>
      <c r="AP30" s="13">
        <v>0</v>
      </c>
      <c r="AQ30" s="13">
        <v>0</v>
      </c>
      <c r="AR30" s="13">
        <v>0</v>
      </c>
      <c r="AS30" s="13">
        <v>0</v>
      </c>
      <c r="AT30" s="13">
        <v>0</v>
      </c>
      <c r="AU30" s="13">
        <v>0</v>
      </c>
      <c r="AV30" s="13">
        <v>0</v>
      </c>
      <c r="AW30" s="13">
        <v>0</v>
      </c>
      <c r="AX30" s="13">
        <v>0</v>
      </c>
      <c r="AY30" s="13">
        <v>0</v>
      </c>
      <c r="AZ30" s="13">
        <v>0</v>
      </c>
      <c r="BA30" s="13">
        <v>0</v>
      </c>
      <c r="BB30" s="13">
        <v>0</v>
      </c>
    </row>
    <row r="31" spans="1:54" x14ac:dyDescent="0.2">
      <c r="A31" s="12"/>
      <c r="B31" s="15"/>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row>
    <row r="32" spans="1:54" x14ac:dyDescent="0.2">
      <c r="A32" s="16" t="s">
        <v>200</v>
      </c>
      <c r="B32" s="12"/>
      <c r="C32" s="11">
        <v>9464</v>
      </c>
      <c r="D32" s="11">
        <v>9669</v>
      </c>
      <c r="E32" s="11">
        <v>8754</v>
      </c>
      <c r="F32" s="11">
        <v>9659</v>
      </c>
      <c r="G32" s="11">
        <v>9595</v>
      </c>
      <c r="H32" s="11">
        <v>10702</v>
      </c>
      <c r="I32" s="11">
        <v>9215</v>
      </c>
      <c r="J32" s="11">
        <v>10216</v>
      </c>
      <c r="K32" s="11">
        <v>10980</v>
      </c>
      <c r="L32" s="11">
        <v>9085</v>
      </c>
      <c r="M32" s="11">
        <v>9533</v>
      </c>
      <c r="N32" s="11">
        <v>9758</v>
      </c>
      <c r="O32" s="11">
        <v>9467</v>
      </c>
      <c r="P32" s="11">
        <v>10801</v>
      </c>
      <c r="Q32" s="11">
        <v>10005</v>
      </c>
      <c r="R32" s="11">
        <v>10668</v>
      </c>
      <c r="S32" s="11">
        <v>10192</v>
      </c>
      <c r="T32" s="11">
        <v>9829</v>
      </c>
      <c r="U32" s="11">
        <v>9622</v>
      </c>
      <c r="V32" s="11">
        <v>10346</v>
      </c>
      <c r="W32" s="11">
        <v>7297</v>
      </c>
      <c r="X32" s="11">
        <v>7640</v>
      </c>
      <c r="Y32" s="11">
        <v>8326</v>
      </c>
      <c r="Z32" s="11">
        <v>7531</v>
      </c>
      <c r="AA32" s="11">
        <v>9019</v>
      </c>
      <c r="AB32" s="11">
        <v>8587</v>
      </c>
      <c r="AC32" s="11">
        <v>0</v>
      </c>
      <c r="AD32" s="11">
        <v>0</v>
      </c>
      <c r="AE32" s="11">
        <v>0</v>
      </c>
      <c r="AF32" s="11">
        <v>0</v>
      </c>
      <c r="AG32" s="11">
        <v>0</v>
      </c>
      <c r="AH32" s="11">
        <v>0</v>
      </c>
      <c r="AI32" s="11">
        <v>0</v>
      </c>
      <c r="AJ32" s="11">
        <v>0</v>
      </c>
      <c r="AK32" s="11">
        <v>0</v>
      </c>
      <c r="AL32" s="11">
        <v>0</v>
      </c>
      <c r="AM32" s="11">
        <v>0</v>
      </c>
      <c r="AN32" s="11">
        <v>0</v>
      </c>
      <c r="AO32" s="11">
        <v>0</v>
      </c>
      <c r="AP32" s="11">
        <v>0</v>
      </c>
      <c r="AQ32" s="11">
        <v>0</v>
      </c>
      <c r="AR32" s="11">
        <v>0</v>
      </c>
      <c r="AS32" s="11">
        <v>0</v>
      </c>
      <c r="AT32" s="11">
        <v>0</v>
      </c>
      <c r="AU32" s="11">
        <v>0</v>
      </c>
      <c r="AV32" s="11">
        <v>0</v>
      </c>
      <c r="AW32" s="11">
        <v>0</v>
      </c>
      <c r="AX32" s="11">
        <v>0</v>
      </c>
      <c r="AY32" s="11">
        <v>0</v>
      </c>
      <c r="AZ32" s="11">
        <v>0</v>
      </c>
      <c r="BA32" s="11">
        <v>0</v>
      </c>
      <c r="BB32" s="11">
        <v>0</v>
      </c>
    </row>
    <row r="33" spans="1:54" x14ac:dyDescent="0.2">
      <c r="A33" s="12"/>
      <c r="B33" s="15" t="s">
        <v>201</v>
      </c>
      <c r="C33" s="13">
        <v>1229</v>
      </c>
      <c r="D33" s="13">
        <v>1462</v>
      </c>
      <c r="E33" s="13">
        <v>2076</v>
      </c>
      <c r="F33" s="13">
        <v>1557</v>
      </c>
      <c r="G33" s="13">
        <v>2197</v>
      </c>
      <c r="H33" s="13">
        <v>2444</v>
      </c>
      <c r="I33" s="13">
        <v>1451</v>
      </c>
      <c r="J33" s="13">
        <v>2009</v>
      </c>
      <c r="K33" s="13">
        <v>2696</v>
      </c>
      <c r="L33" s="13">
        <v>2103</v>
      </c>
      <c r="M33" s="13">
        <v>2074</v>
      </c>
      <c r="N33" s="13">
        <v>2192</v>
      </c>
      <c r="O33" s="13">
        <v>2402</v>
      </c>
      <c r="P33" s="13">
        <v>1592</v>
      </c>
      <c r="Q33" s="13">
        <v>1757</v>
      </c>
      <c r="R33" s="13">
        <v>2666</v>
      </c>
      <c r="S33" s="13">
        <v>1950</v>
      </c>
      <c r="T33" s="13">
        <v>2315</v>
      </c>
      <c r="U33" s="13">
        <v>1764</v>
      </c>
      <c r="V33" s="13">
        <v>2048</v>
      </c>
      <c r="W33" s="13">
        <v>1185</v>
      </c>
      <c r="X33" s="13">
        <v>1122</v>
      </c>
      <c r="Y33" s="13">
        <v>1730</v>
      </c>
      <c r="Z33" s="13">
        <v>1645</v>
      </c>
      <c r="AA33" s="13">
        <v>1981</v>
      </c>
      <c r="AB33" s="13">
        <v>1719</v>
      </c>
      <c r="AC33" s="13">
        <v>0</v>
      </c>
      <c r="AD33" s="13">
        <v>0</v>
      </c>
      <c r="AE33" s="13">
        <v>0</v>
      </c>
      <c r="AF33" s="13">
        <v>0</v>
      </c>
      <c r="AG33" s="13">
        <v>0</v>
      </c>
      <c r="AH33" s="13">
        <v>0</v>
      </c>
      <c r="AI33" s="13">
        <v>0</v>
      </c>
      <c r="AJ33" s="13">
        <v>0</v>
      </c>
      <c r="AK33" s="13">
        <v>0</v>
      </c>
      <c r="AL33" s="13">
        <v>0</v>
      </c>
      <c r="AM33" s="13">
        <v>0</v>
      </c>
      <c r="AN33" s="13">
        <v>0</v>
      </c>
      <c r="AO33" s="13">
        <v>0</v>
      </c>
      <c r="AP33" s="13">
        <v>0</v>
      </c>
      <c r="AQ33" s="13">
        <v>0</v>
      </c>
      <c r="AR33" s="13">
        <v>0</v>
      </c>
      <c r="AS33" s="13">
        <v>0</v>
      </c>
      <c r="AT33" s="13">
        <v>0</v>
      </c>
      <c r="AU33" s="13">
        <v>0</v>
      </c>
      <c r="AV33" s="13">
        <v>0</v>
      </c>
      <c r="AW33" s="13">
        <v>0</v>
      </c>
      <c r="AX33" s="13">
        <v>0</v>
      </c>
      <c r="AY33" s="13">
        <v>0</v>
      </c>
      <c r="AZ33" s="13">
        <v>0</v>
      </c>
      <c r="BA33" s="13">
        <v>0</v>
      </c>
      <c r="BB33" s="13">
        <v>0</v>
      </c>
    </row>
    <row r="34" spans="1:54" x14ac:dyDescent="0.2">
      <c r="A34" s="12"/>
      <c r="B34" s="15" t="s">
        <v>200</v>
      </c>
      <c r="C34" s="13">
        <v>6603</v>
      </c>
      <c r="D34" s="13">
        <v>6718</v>
      </c>
      <c r="E34" s="13">
        <v>5134</v>
      </c>
      <c r="F34" s="13">
        <v>6677</v>
      </c>
      <c r="G34" s="13">
        <v>5881</v>
      </c>
      <c r="H34" s="13">
        <v>6978</v>
      </c>
      <c r="I34" s="13">
        <v>6298</v>
      </c>
      <c r="J34" s="13">
        <v>6719</v>
      </c>
      <c r="K34" s="13">
        <v>6959</v>
      </c>
      <c r="L34" s="13">
        <v>5631</v>
      </c>
      <c r="M34" s="13">
        <v>5946</v>
      </c>
      <c r="N34" s="13">
        <v>6225</v>
      </c>
      <c r="O34" s="13">
        <v>5858</v>
      </c>
      <c r="P34" s="13">
        <v>7888</v>
      </c>
      <c r="Q34" s="13">
        <v>7127</v>
      </c>
      <c r="R34" s="13">
        <v>6775</v>
      </c>
      <c r="S34" s="13">
        <v>6880</v>
      </c>
      <c r="T34" s="13">
        <v>6049</v>
      </c>
      <c r="U34" s="13">
        <v>6691</v>
      </c>
      <c r="V34" s="13">
        <v>6881</v>
      </c>
      <c r="W34" s="13">
        <v>4865</v>
      </c>
      <c r="X34" s="13">
        <v>5019</v>
      </c>
      <c r="Y34" s="13">
        <v>5326</v>
      </c>
      <c r="Z34" s="13">
        <v>4692</v>
      </c>
      <c r="AA34" s="13">
        <v>5574</v>
      </c>
      <c r="AB34" s="13">
        <v>5579</v>
      </c>
      <c r="AC34" s="13">
        <v>0</v>
      </c>
      <c r="AD34" s="13">
        <v>0</v>
      </c>
      <c r="AE34" s="13">
        <v>0</v>
      </c>
      <c r="AF34" s="13">
        <v>0</v>
      </c>
      <c r="AG34" s="13">
        <v>0</v>
      </c>
      <c r="AH34" s="13">
        <v>0</v>
      </c>
      <c r="AI34" s="13">
        <v>0</v>
      </c>
      <c r="AJ34" s="13">
        <v>0</v>
      </c>
      <c r="AK34" s="13">
        <v>0</v>
      </c>
      <c r="AL34" s="13">
        <v>0</v>
      </c>
      <c r="AM34" s="13">
        <v>0</v>
      </c>
      <c r="AN34" s="13">
        <v>0</v>
      </c>
      <c r="AO34" s="13">
        <v>0</v>
      </c>
      <c r="AP34" s="13">
        <v>0</v>
      </c>
      <c r="AQ34" s="13">
        <v>0</v>
      </c>
      <c r="AR34" s="13">
        <v>0</v>
      </c>
      <c r="AS34" s="13">
        <v>0</v>
      </c>
      <c r="AT34" s="13">
        <v>0</v>
      </c>
      <c r="AU34" s="13">
        <v>0</v>
      </c>
      <c r="AV34" s="13">
        <v>0</v>
      </c>
      <c r="AW34" s="13">
        <v>0</v>
      </c>
      <c r="AX34" s="13">
        <v>0</v>
      </c>
      <c r="AY34" s="13">
        <v>0</v>
      </c>
      <c r="AZ34" s="13">
        <v>0</v>
      </c>
      <c r="BA34" s="13">
        <v>0</v>
      </c>
      <c r="BB34" s="13">
        <v>0</v>
      </c>
    </row>
    <row r="35" spans="1:54" x14ac:dyDescent="0.2">
      <c r="A35" s="12"/>
      <c r="B35" s="15" t="s">
        <v>202</v>
      </c>
      <c r="C35" s="13">
        <v>1632</v>
      </c>
      <c r="D35" s="13">
        <v>1489</v>
      </c>
      <c r="E35" s="13">
        <v>1544</v>
      </c>
      <c r="F35" s="13">
        <v>1425</v>
      </c>
      <c r="G35" s="13">
        <v>1517</v>
      </c>
      <c r="H35" s="13">
        <v>1280</v>
      </c>
      <c r="I35" s="13">
        <v>1466</v>
      </c>
      <c r="J35" s="13">
        <v>1488</v>
      </c>
      <c r="K35" s="13">
        <v>1325</v>
      </c>
      <c r="L35" s="13">
        <v>1351</v>
      </c>
      <c r="M35" s="13">
        <v>1513</v>
      </c>
      <c r="N35" s="13">
        <v>1341</v>
      </c>
      <c r="O35" s="13">
        <v>1207</v>
      </c>
      <c r="P35" s="13">
        <v>1321</v>
      </c>
      <c r="Q35" s="13">
        <v>1121</v>
      </c>
      <c r="R35" s="13">
        <v>1227</v>
      </c>
      <c r="S35" s="13">
        <v>1362</v>
      </c>
      <c r="T35" s="13">
        <v>1465</v>
      </c>
      <c r="U35" s="13">
        <v>1167</v>
      </c>
      <c r="V35" s="13">
        <v>1417</v>
      </c>
      <c r="W35" s="13">
        <v>1247</v>
      </c>
      <c r="X35" s="13">
        <v>1499</v>
      </c>
      <c r="Y35" s="13">
        <v>1270</v>
      </c>
      <c r="Z35" s="13">
        <v>1194</v>
      </c>
      <c r="AA35" s="13">
        <v>1464</v>
      </c>
      <c r="AB35" s="13">
        <v>1289</v>
      </c>
      <c r="AC35" s="13">
        <v>0</v>
      </c>
      <c r="AD35" s="13">
        <v>0</v>
      </c>
      <c r="AE35" s="13">
        <v>0</v>
      </c>
      <c r="AF35" s="13">
        <v>0</v>
      </c>
      <c r="AG35" s="13">
        <v>0</v>
      </c>
      <c r="AH35" s="13">
        <v>0</v>
      </c>
      <c r="AI35" s="13">
        <v>0</v>
      </c>
      <c r="AJ35" s="13">
        <v>0</v>
      </c>
      <c r="AK35" s="13">
        <v>0</v>
      </c>
      <c r="AL35" s="13">
        <v>0</v>
      </c>
      <c r="AM35" s="13">
        <v>0</v>
      </c>
      <c r="AN35" s="13">
        <v>0</v>
      </c>
      <c r="AO35" s="13">
        <v>0</v>
      </c>
      <c r="AP35" s="13">
        <v>0</v>
      </c>
      <c r="AQ35" s="13">
        <v>0</v>
      </c>
      <c r="AR35" s="13">
        <v>0</v>
      </c>
      <c r="AS35" s="13">
        <v>0</v>
      </c>
      <c r="AT35" s="13">
        <v>0</v>
      </c>
      <c r="AU35" s="13">
        <v>0</v>
      </c>
      <c r="AV35" s="13">
        <v>0</v>
      </c>
      <c r="AW35" s="13">
        <v>0</v>
      </c>
      <c r="AX35" s="13">
        <v>0</v>
      </c>
      <c r="AY35" s="13">
        <v>0</v>
      </c>
      <c r="AZ35" s="13">
        <v>0</v>
      </c>
      <c r="BA35" s="13">
        <v>0</v>
      </c>
      <c r="BB35" s="13">
        <v>0</v>
      </c>
    </row>
    <row r="36" spans="1:54" x14ac:dyDescent="0.2">
      <c r="A36" s="12"/>
      <c r="B36" s="15"/>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row>
    <row r="37" spans="1:54" x14ac:dyDescent="0.2">
      <c r="A37" s="9" t="s">
        <v>203</v>
      </c>
      <c r="C37" s="5">
        <v>2024</v>
      </c>
      <c r="D37" s="5">
        <v>1897</v>
      </c>
      <c r="E37" s="5">
        <v>1592</v>
      </c>
      <c r="F37" s="5">
        <v>1824</v>
      </c>
      <c r="G37" s="5">
        <v>1813</v>
      </c>
      <c r="H37" s="5">
        <v>1972</v>
      </c>
      <c r="I37" s="5">
        <v>1958</v>
      </c>
      <c r="J37" s="5">
        <v>1706</v>
      </c>
      <c r="K37" s="5">
        <v>1839</v>
      </c>
      <c r="L37" s="5">
        <v>1826</v>
      </c>
      <c r="M37" s="5">
        <v>1819</v>
      </c>
      <c r="N37" s="5">
        <v>2049</v>
      </c>
      <c r="O37" s="5">
        <v>1608</v>
      </c>
      <c r="P37" s="5">
        <v>1958</v>
      </c>
      <c r="Q37" s="5">
        <v>1799</v>
      </c>
      <c r="R37" s="5">
        <v>1857</v>
      </c>
      <c r="S37" s="5">
        <v>1897</v>
      </c>
      <c r="T37" s="5">
        <v>1869</v>
      </c>
      <c r="U37" s="5">
        <v>2206</v>
      </c>
      <c r="V37" s="5">
        <v>1866</v>
      </c>
      <c r="W37" s="5">
        <v>1606</v>
      </c>
      <c r="X37" s="5">
        <v>2079</v>
      </c>
      <c r="Y37" s="5">
        <v>2052</v>
      </c>
      <c r="Z37" s="5">
        <v>2234</v>
      </c>
      <c r="AA37" s="5">
        <v>2011</v>
      </c>
      <c r="AB37" s="5">
        <v>2060</v>
      </c>
      <c r="AC37" s="5">
        <v>0</v>
      </c>
      <c r="AD37" s="5">
        <v>0</v>
      </c>
      <c r="AE37" s="5">
        <v>0</v>
      </c>
      <c r="AF37" s="5">
        <v>0</v>
      </c>
      <c r="AG37" s="5">
        <v>0</v>
      </c>
      <c r="AH37" s="5">
        <v>0</v>
      </c>
      <c r="AI37" s="5">
        <v>0</v>
      </c>
      <c r="AJ37" s="5">
        <v>0</v>
      </c>
      <c r="AK37" s="5">
        <v>0</v>
      </c>
      <c r="AL37" s="5">
        <v>0</v>
      </c>
      <c r="AM37" s="5">
        <v>0</v>
      </c>
      <c r="AN37" s="5">
        <v>0</v>
      </c>
      <c r="AO37" s="5">
        <v>0</v>
      </c>
      <c r="AP37" s="5">
        <v>0</v>
      </c>
      <c r="AQ37" s="5">
        <v>0</v>
      </c>
      <c r="AR37" s="5">
        <v>0</v>
      </c>
      <c r="AS37" s="5">
        <v>0</v>
      </c>
      <c r="AT37" s="5">
        <v>0</v>
      </c>
      <c r="AU37" s="5">
        <v>0</v>
      </c>
      <c r="AV37" s="5">
        <v>0</v>
      </c>
      <c r="AW37" s="5">
        <v>0</v>
      </c>
      <c r="AX37" s="5">
        <v>0</v>
      </c>
      <c r="AY37" s="5">
        <v>0</v>
      </c>
      <c r="AZ37" s="5">
        <v>0</v>
      </c>
      <c r="BA37" s="5">
        <v>0</v>
      </c>
      <c r="BB37" s="5">
        <v>0</v>
      </c>
    </row>
    <row r="38" spans="1:54" x14ac:dyDescent="0.2">
      <c r="A38" s="4"/>
      <c r="B38" s="4"/>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row>
    <row r="39" spans="1:54" x14ac:dyDescent="0.2">
      <c r="A39" s="18" t="s">
        <v>204</v>
      </c>
      <c r="B39" s="19"/>
      <c r="C39" s="20">
        <v>20281</v>
      </c>
      <c r="D39" s="20">
        <v>21170</v>
      </c>
      <c r="E39" s="20">
        <v>18825</v>
      </c>
      <c r="F39" s="20">
        <v>19655</v>
      </c>
      <c r="G39" s="20">
        <v>19321</v>
      </c>
      <c r="H39" s="20">
        <v>21274</v>
      </c>
      <c r="I39" s="20">
        <v>19976</v>
      </c>
      <c r="J39" s="20">
        <v>20738</v>
      </c>
      <c r="K39" s="20">
        <v>19905</v>
      </c>
      <c r="L39" s="20">
        <v>18733</v>
      </c>
      <c r="M39" s="20">
        <v>19584</v>
      </c>
      <c r="N39" s="20">
        <v>20524</v>
      </c>
      <c r="O39" s="20">
        <v>19002</v>
      </c>
      <c r="P39" s="20">
        <v>21848</v>
      </c>
      <c r="Q39" s="20">
        <v>20981</v>
      </c>
      <c r="R39" s="20">
        <v>21753</v>
      </c>
      <c r="S39" s="20">
        <v>21003</v>
      </c>
      <c r="T39" s="20">
        <v>20802</v>
      </c>
      <c r="U39" s="20">
        <v>18942</v>
      </c>
      <c r="V39" s="20">
        <v>20495</v>
      </c>
      <c r="W39" s="20">
        <v>16788</v>
      </c>
      <c r="X39" s="20">
        <v>18315</v>
      </c>
      <c r="Y39" s="20">
        <v>18806</v>
      </c>
      <c r="Z39" s="20">
        <v>17161</v>
      </c>
      <c r="AA39" s="20">
        <v>19379</v>
      </c>
      <c r="AB39" s="20">
        <v>19413</v>
      </c>
      <c r="AC39" s="20">
        <v>0</v>
      </c>
      <c r="AD39" s="20">
        <v>0</v>
      </c>
      <c r="AE39" s="20">
        <v>0</v>
      </c>
      <c r="AF39" s="20">
        <v>0</v>
      </c>
      <c r="AG39" s="20">
        <v>0</v>
      </c>
      <c r="AH39" s="20">
        <v>0</v>
      </c>
      <c r="AI39" s="20">
        <v>0</v>
      </c>
      <c r="AJ39" s="20">
        <v>0</v>
      </c>
      <c r="AK39" s="20">
        <v>0</v>
      </c>
      <c r="AL39" s="20">
        <v>0</v>
      </c>
      <c r="AM39" s="20">
        <v>0</v>
      </c>
      <c r="AN39" s="20">
        <v>0</v>
      </c>
      <c r="AO39" s="20">
        <v>0</v>
      </c>
      <c r="AP39" s="20">
        <v>0</v>
      </c>
      <c r="AQ39" s="20">
        <v>0</v>
      </c>
      <c r="AR39" s="20">
        <v>0</v>
      </c>
      <c r="AS39" s="20">
        <v>0</v>
      </c>
      <c r="AT39" s="20">
        <v>0</v>
      </c>
      <c r="AU39" s="20">
        <v>0</v>
      </c>
      <c r="AV39" s="20">
        <v>0</v>
      </c>
      <c r="AW39" s="20">
        <v>0</v>
      </c>
      <c r="AX39" s="20">
        <v>0</v>
      </c>
      <c r="AY39" s="20">
        <v>0</v>
      </c>
      <c r="AZ39" s="20">
        <v>0</v>
      </c>
      <c r="BA39" s="20">
        <v>0</v>
      </c>
      <c r="BB39" s="20">
        <v>0</v>
      </c>
    </row>
    <row r="40" spans="1:54" x14ac:dyDescent="0.2">
      <c r="A40" s="12"/>
      <c r="B40" s="15"/>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row>
    <row r="41" spans="1:54" x14ac:dyDescent="0.2">
      <c r="A41" s="12"/>
      <c r="B41" s="15" t="s">
        <v>205</v>
      </c>
      <c r="C41" s="13">
        <v>43280</v>
      </c>
      <c r="D41" s="13">
        <v>42011</v>
      </c>
      <c r="E41" s="13">
        <v>40265</v>
      </c>
      <c r="F41" s="13">
        <v>34696</v>
      </c>
      <c r="G41" s="13">
        <v>42995</v>
      </c>
      <c r="H41" s="13">
        <v>43925</v>
      </c>
      <c r="I41" s="13">
        <v>40224</v>
      </c>
      <c r="J41" s="13">
        <v>43827</v>
      </c>
      <c r="K41" s="13">
        <v>42846</v>
      </c>
      <c r="L41" s="13">
        <v>42109</v>
      </c>
      <c r="M41" s="13">
        <v>44730</v>
      </c>
      <c r="N41" s="13">
        <v>43399</v>
      </c>
      <c r="O41" s="13">
        <v>42245</v>
      </c>
      <c r="P41" s="13">
        <v>43687</v>
      </c>
      <c r="Q41" s="13">
        <v>42117</v>
      </c>
      <c r="R41" s="13">
        <v>43284</v>
      </c>
      <c r="S41" s="13">
        <v>46429</v>
      </c>
      <c r="T41" s="13">
        <v>44490</v>
      </c>
      <c r="U41" s="13">
        <v>46744</v>
      </c>
      <c r="V41" s="13">
        <v>43520</v>
      </c>
      <c r="W41" s="13">
        <v>45776</v>
      </c>
      <c r="X41" s="13">
        <v>43165</v>
      </c>
      <c r="Y41" s="13">
        <v>44538</v>
      </c>
      <c r="Z41" s="13">
        <v>44562</v>
      </c>
      <c r="AA41" s="13">
        <v>43999</v>
      </c>
      <c r="AB41" s="13">
        <v>42271</v>
      </c>
      <c r="AC41" s="13">
        <v>0</v>
      </c>
      <c r="AD41" s="13">
        <v>0</v>
      </c>
      <c r="AE41" s="13">
        <v>0</v>
      </c>
      <c r="AF41" s="13">
        <v>0</v>
      </c>
      <c r="AG41" s="13">
        <v>0</v>
      </c>
      <c r="AH41" s="13">
        <v>0</v>
      </c>
      <c r="AI41" s="13">
        <v>0</v>
      </c>
      <c r="AJ41" s="13">
        <v>0</v>
      </c>
      <c r="AK41" s="13">
        <v>0</v>
      </c>
      <c r="AL41" s="13">
        <v>0</v>
      </c>
      <c r="AM41" s="13">
        <v>0</v>
      </c>
      <c r="AN41" s="13">
        <v>0</v>
      </c>
      <c r="AO41" s="13">
        <v>0</v>
      </c>
      <c r="AP41" s="13">
        <v>0</v>
      </c>
      <c r="AQ41" s="13">
        <v>0</v>
      </c>
      <c r="AR41" s="13">
        <v>0</v>
      </c>
      <c r="AS41" s="13">
        <v>0</v>
      </c>
      <c r="AT41" s="13">
        <v>0</v>
      </c>
      <c r="AU41" s="13">
        <v>0</v>
      </c>
      <c r="AV41" s="13">
        <v>0</v>
      </c>
      <c r="AW41" s="13">
        <v>0</v>
      </c>
      <c r="AX41" s="13">
        <v>0</v>
      </c>
      <c r="AY41" s="13">
        <v>0</v>
      </c>
      <c r="AZ41" s="13">
        <v>0</v>
      </c>
      <c r="BA41" s="13">
        <v>0</v>
      </c>
      <c r="BB41" s="13">
        <v>0</v>
      </c>
    </row>
    <row r="42" spans="1:54" x14ac:dyDescent="0.2">
      <c r="A42" s="12"/>
      <c r="B42" s="15" t="s">
        <v>206</v>
      </c>
      <c r="C42" s="13">
        <v>0</v>
      </c>
      <c r="D42" s="13">
        <v>0</v>
      </c>
      <c r="E42" s="13">
        <v>0</v>
      </c>
      <c r="F42" s="13">
        <v>0</v>
      </c>
      <c r="G42" s="13">
        <v>0</v>
      </c>
      <c r="H42" s="13">
        <v>0</v>
      </c>
      <c r="I42" s="13">
        <v>0</v>
      </c>
      <c r="J42" s="13">
        <v>0</v>
      </c>
      <c r="K42" s="13">
        <v>0</v>
      </c>
      <c r="L42" s="13">
        <v>0</v>
      </c>
      <c r="M42" s="13">
        <v>1</v>
      </c>
      <c r="N42" s="13">
        <v>0</v>
      </c>
      <c r="O42" s="13">
        <v>0</v>
      </c>
      <c r="P42" s="13">
        <v>0</v>
      </c>
      <c r="Q42" s="13">
        <v>0</v>
      </c>
      <c r="R42" s="13">
        <v>0</v>
      </c>
      <c r="S42" s="13">
        <v>0</v>
      </c>
      <c r="T42" s="13">
        <v>0</v>
      </c>
      <c r="U42" s="13">
        <v>0</v>
      </c>
      <c r="V42" s="13">
        <v>0</v>
      </c>
      <c r="W42" s="13">
        <v>0</v>
      </c>
      <c r="X42" s="13">
        <v>1</v>
      </c>
      <c r="Y42" s="13">
        <v>0</v>
      </c>
      <c r="Z42" s="13">
        <v>0</v>
      </c>
      <c r="AA42" s="13">
        <v>0</v>
      </c>
      <c r="AB42" s="13">
        <v>0</v>
      </c>
      <c r="AC42" s="13">
        <v>0</v>
      </c>
      <c r="AD42" s="13">
        <v>0</v>
      </c>
      <c r="AE42" s="13">
        <v>0</v>
      </c>
      <c r="AF42" s="13">
        <v>0</v>
      </c>
      <c r="AG42" s="13">
        <v>0</v>
      </c>
      <c r="AH42" s="13">
        <v>0</v>
      </c>
      <c r="AI42" s="13">
        <v>0</v>
      </c>
      <c r="AJ42" s="13">
        <v>0</v>
      </c>
      <c r="AK42" s="13">
        <v>0</v>
      </c>
      <c r="AL42" s="13">
        <v>0</v>
      </c>
      <c r="AM42" s="13">
        <v>0</v>
      </c>
      <c r="AN42" s="13">
        <v>0</v>
      </c>
      <c r="AO42" s="13">
        <v>0</v>
      </c>
      <c r="AP42" s="13">
        <v>0</v>
      </c>
      <c r="AQ42" s="13">
        <v>0</v>
      </c>
      <c r="AR42" s="13">
        <v>0</v>
      </c>
      <c r="AS42" s="13">
        <v>0</v>
      </c>
      <c r="AT42" s="13">
        <v>0</v>
      </c>
      <c r="AU42" s="13">
        <v>0</v>
      </c>
      <c r="AV42" s="13">
        <v>0</v>
      </c>
      <c r="AW42" s="13">
        <v>0</v>
      </c>
      <c r="AX42" s="13">
        <v>0</v>
      </c>
      <c r="AY42" s="13">
        <v>0</v>
      </c>
      <c r="AZ42" s="13">
        <v>0</v>
      </c>
      <c r="BA42" s="13">
        <v>0</v>
      </c>
      <c r="BB42" s="13">
        <v>0</v>
      </c>
    </row>
    <row r="43" spans="1:54" x14ac:dyDescent="0.2">
      <c r="A43" s="12"/>
      <c r="B43" s="15"/>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row>
    <row r="44" spans="1:54" x14ac:dyDescent="0.2">
      <c r="A44" s="18" t="s">
        <v>207</v>
      </c>
      <c r="B44" s="18"/>
      <c r="C44" s="20">
        <v>43280</v>
      </c>
      <c r="D44" s="20">
        <v>42011</v>
      </c>
      <c r="E44" s="20">
        <v>40265</v>
      </c>
      <c r="F44" s="20">
        <v>34696</v>
      </c>
      <c r="G44" s="20">
        <v>42995</v>
      </c>
      <c r="H44" s="20">
        <v>43925</v>
      </c>
      <c r="I44" s="20">
        <v>40224</v>
      </c>
      <c r="J44" s="20">
        <v>43827</v>
      </c>
      <c r="K44" s="20">
        <v>42846</v>
      </c>
      <c r="L44" s="20">
        <v>42109</v>
      </c>
      <c r="M44" s="20">
        <v>44731</v>
      </c>
      <c r="N44" s="20">
        <v>43399</v>
      </c>
      <c r="O44" s="20">
        <v>42245</v>
      </c>
      <c r="P44" s="20">
        <v>43687</v>
      </c>
      <c r="Q44" s="20">
        <v>42117</v>
      </c>
      <c r="R44" s="20">
        <v>43284</v>
      </c>
      <c r="S44" s="20">
        <v>46429</v>
      </c>
      <c r="T44" s="20">
        <v>44490</v>
      </c>
      <c r="U44" s="20">
        <v>46744</v>
      </c>
      <c r="V44" s="20">
        <v>43520</v>
      </c>
      <c r="W44" s="20">
        <v>45776</v>
      </c>
      <c r="X44" s="20">
        <v>43166</v>
      </c>
      <c r="Y44" s="20">
        <v>44538</v>
      </c>
      <c r="Z44" s="20">
        <v>44562</v>
      </c>
      <c r="AA44" s="20">
        <v>43999</v>
      </c>
      <c r="AB44" s="20">
        <v>42271</v>
      </c>
      <c r="AC44" s="20">
        <v>0</v>
      </c>
      <c r="AD44" s="20">
        <v>0</v>
      </c>
      <c r="AE44" s="20">
        <v>0</v>
      </c>
      <c r="AF44" s="20">
        <v>0</v>
      </c>
      <c r="AG44" s="20">
        <v>0</v>
      </c>
      <c r="AH44" s="20">
        <v>0</v>
      </c>
      <c r="AI44" s="20">
        <v>0</v>
      </c>
      <c r="AJ44" s="20">
        <v>0</v>
      </c>
      <c r="AK44" s="20">
        <v>0</v>
      </c>
      <c r="AL44" s="20">
        <v>0</v>
      </c>
      <c r="AM44" s="20">
        <v>0</v>
      </c>
      <c r="AN44" s="20">
        <v>0</v>
      </c>
      <c r="AO44" s="20">
        <v>0</v>
      </c>
      <c r="AP44" s="20">
        <v>0</v>
      </c>
      <c r="AQ44" s="20">
        <v>0</v>
      </c>
      <c r="AR44" s="20">
        <v>0</v>
      </c>
      <c r="AS44" s="20">
        <v>0</v>
      </c>
      <c r="AT44" s="20">
        <v>0</v>
      </c>
      <c r="AU44" s="20">
        <v>0</v>
      </c>
      <c r="AV44" s="20">
        <v>0</v>
      </c>
      <c r="AW44" s="20">
        <v>0</v>
      </c>
      <c r="AX44" s="20">
        <v>0</v>
      </c>
      <c r="AY44" s="20">
        <v>0</v>
      </c>
      <c r="AZ44" s="20">
        <v>0</v>
      </c>
      <c r="BA44" s="20">
        <v>0</v>
      </c>
      <c r="BB44" s="20">
        <v>0</v>
      </c>
    </row>
    <row r="45" spans="1:54" x14ac:dyDescent="0.2">
      <c r="A45" s="12"/>
      <c r="B45" s="14"/>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row>
    <row r="46" spans="1:54" ht="13.5" thickBot="1" x14ac:dyDescent="0.25">
      <c r="A46" s="21" t="s">
        <v>208</v>
      </c>
      <c r="B46" s="22"/>
      <c r="C46" s="23">
        <v>103547</v>
      </c>
      <c r="D46" s="23">
        <v>105436</v>
      </c>
      <c r="E46" s="23">
        <v>100093</v>
      </c>
      <c r="F46" s="23">
        <v>92960</v>
      </c>
      <c r="G46" s="23">
        <v>104927</v>
      </c>
      <c r="H46" s="23">
        <v>109758</v>
      </c>
      <c r="I46" s="23">
        <v>103241</v>
      </c>
      <c r="J46" s="23">
        <v>108879</v>
      </c>
      <c r="K46" s="23">
        <v>106199</v>
      </c>
      <c r="L46" s="23">
        <v>104668</v>
      </c>
      <c r="M46" s="23">
        <v>108185</v>
      </c>
      <c r="N46" s="23">
        <v>109787</v>
      </c>
      <c r="O46" s="23">
        <v>104093</v>
      </c>
      <c r="P46" s="23">
        <v>109633</v>
      </c>
      <c r="Q46" s="23">
        <v>106656</v>
      </c>
      <c r="R46" s="23">
        <v>108810</v>
      </c>
      <c r="S46" s="23">
        <v>112689</v>
      </c>
      <c r="T46" s="23">
        <v>108684</v>
      </c>
      <c r="U46" s="23">
        <v>112292</v>
      </c>
      <c r="V46" s="23">
        <v>109018</v>
      </c>
      <c r="W46" s="23">
        <v>108170</v>
      </c>
      <c r="X46" s="23">
        <v>106667</v>
      </c>
      <c r="Y46" s="23">
        <v>107667</v>
      </c>
      <c r="Z46" s="23">
        <v>104794</v>
      </c>
      <c r="AA46" s="23">
        <v>105942</v>
      </c>
      <c r="AB46" s="23">
        <v>103643</v>
      </c>
      <c r="AC46" s="23">
        <v>0</v>
      </c>
      <c r="AD46" s="23">
        <v>0</v>
      </c>
      <c r="AE46" s="23">
        <v>0</v>
      </c>
      <c r="AF46" s="23">
        <v>0</v>
      </c>
      <c r="AG46" s="23">
        <v>0</v>
      </c>
      <c r="AH46" s="23">
        <v>0</v>
      </c>
      <c r="AI46" s="23">
        <v>0</v>
      </c>
      <c r="AJ46" s="23">
        <v>0</v>
      </c>
      <c r="AK46" s="23">
        <v>0</v>
      </c>
      <c r="AL46" s="23">
        <v>0</v>
      </c>
      <c r="AM46" s="23">
        <v>0</v>
      </c>
      <c r="AN46" s="23">
        <v>0</v>
      </c>
      <c r="AO46" s="23">
        <v>0</v>
      </c>
      <c r="AP46" s="23">
        <v>0</v>
      </c>
      <c r="AQ46" s="23">
        <v>0</v>
      </c>
      <c r="AR46" s="23">
        <v>0</v>
      </c>
      <c r="AS46" s="23">
        <v>0</v>
      </c>
      <c r="AT46" s="23">
        <v>0</v>
      </c>
      <c r="AU46" s="23">
        <v>0</v>
      </c>
      <c r="AV46" s="23">
        <v>0</v>
      </c>
      <c r="AW46" s="23">
        <v>0</v>
      </c>
      <c r="AX46" s="23">
        <v>0</v>
      </c>
      <c r="AY46" s="23">
        <v>0</v>
      </c>
      <c r="AZ46" s="23">
        <v>0</v>
      </c>
      <c r="BA46" s="23">
        <v>0</v>
      </c>
      <c r="BB46" s="23">
        <v>0</v>
      </c>
    </row>
    <row r="47" spans="1:54" ht="13.5" thickTop="1" x14ac:dyDescent="0.2"/>
    <row r="49" spans="1:54" ht="13.5" thickBot="1" x14ac:dyDescent="0.25">
      <c r="A49" s="46" t="s">
        <v>209</v>
      </c>
      <c r="B49" s="22"/>
      <c r="C49" s="23">
        <v>4670.0710479999998</v>
      </c>
      <c r="D49" s="23">
        <v>4977.0717919999997</v>
      </c>
      <c r="E49" s="23">
        <v>4599.2207560000006</v>
      </c>
      <c r="F49" s="23">
        <v>4526.8934909999989</v>
      </c>
      <c r="G49" s="23">
        <v>5047.144166</v>
      </c>
      <c r="H49" s="23">
        <v>5136.5695299999998</v>
      </c>
      <c r="I49" s="23">
        <v>4859.9299749999991</v>
      </c>
      <c r="J49" s="23">
        <v>5056.4445340000002</v>
      </c>
      <c r="K49" s="23">
        <v>4883.6533159999999</v>
      </c>
      <c r="L49" s="23">
        <v>4724.1833889999998</v>
      </c>
      <c r="M49" s="23">
        <v>4996.962501</v>
      </c>
      <c r="N49" s="23">
        <v>4917.8549469999998</v>
      </c>
      <c r="O49" s="23">
        <v>4765.7249489999995</v>
      </c>
      <c r="P49" s="23">
        <v>4858.5069429999994</v>
      </c>
      <c r="Q49" s="23">
        <v>4954.2601730000006</v>
      </c>
      <c r="R49" s="23">
        <v>4993.9944990000004</v>
      </c>
      <c r="S49" s="23">
        <v>4924.939577000001</v>
      </c>
      <c r="T49" s="23">
        <v>4920.1257989999995</v>
      </c>
      <c r="U49" s="23">
        <v>4858</v>
      </c>
      <c r="V49" s="23">
        <v>4934.4409999999998</v>
      </c>
      <c r="W49" s="23">
        <v>4668.9793650000001</v>
      </c>
      <c r="X49" s="23">
        <v>4414.3110839999999</v>
      </c>
      <c r="Y49" s="23">
        <v>4793.342549</v>
      </c>
      <c r="Z49" s="23">
        <v>4551.0315839999994</v>
      </c>
      <c r="AA49" s="23">
        <v>4715.0936300000012</v>
      </c>
      <c r="AB49" s="23">
        <v>4585.1970119999996</v>
      </c>
      <c r="AC49" s="23">
        <v>0</v>
      </c>
      <c r="AD49" s="23">
        <v>0</v>
      </c>
      <c r="AE49" s="23">
        <v>0</v>
      </c>
      <c r="AF49" s="23">
        <v>0</v>
      </c>
      <c r="AG49" s="23">
        <v>0</v>
      </c>
      <c r="AH49" s="23">
        <v>0</v>
      </c>
      <c r="AI49" s="23">
        <v>0</v>
      </c>
      <c r="AJ49" s="23">
        <v>0</v>
      </c>
      <c r="AK49" s="23">
        <v>0</v>
      </c>
      <c r="AL49" s="23">
        <v>0</v>
      </c>
      <c r="AM49" s="23">
        <v>0</v>
      </c>
      <c r="AN49" s="23">
        <v>0</v>
      </c>
      <c r="AO49" s="23">
        <v>0</v>
      </c>
      <c r="AP49" s="23">
        <v>0</v>
      </c>
      <c r="AQ49" s="23">
        <v>0</v>
      </c>
      <c r="AR49" s="23">
        <v>0</v>
      </c>
      <c r="AS49" s="23">
        <v>0</v>
      </c>
      <c r="AT49" s="23">
        <v>0</v>
      </c>
      <c r="AU49" s="23">
        <v>0</v>
      </c>
      <c r="AV49" s="23">
        <v>0</v>
      </c>
      <c r="AW49" s="23">
        <v>0</v>
      </c>
      <c r="AX49" s="23">
        <v>0</v>
      </c>
      <c r="AY49" s="23">
        <v>0</v>
      </c>
      <c r="AZ49" s="23">
        <v>0</v>
      </c>
      <c r="BA49" s="23">
        <v>0</v>
      </c>
      <c r="BB49" s="23">
        <v>0</v>
      </c>
    </row>
    <row r="50" spans="1:54" ht="13.5" thickTop="1" x14ac:dyDescent="0.2">
      <c r="E50" s="44"/>
    </row>
  </sheetData>
  <sheetProtection algorithmName="SHA-512" hashValue="dHIRTCP9FEgDSzxOYOi44hL7HBZxb/pn4ya/4Ynv/4fxlGQWJ3SB9V9OnfkUWvM4jfF+xwgn/2UxHyvjPbWkEQ==" saltValue="akH90BJ4ihkJl/csaUtdNQ==" spinCount="100000" sheet="1" objects="1" scenarios="1"/>
  <mergeCells count="1">
    <mergeCell ref="A1:BB1"/>
  </mergeCells>
  <pageMargins left="0.17" right="0.17" top="0.17" bottom="0.5" header="0.17" footer="0.5"/>
  <pageSetup scale="70" fitToWidth="0" fitToHeight="0" orientation="landscape" r:id="rId1"/>
  <headerFooter alignWithMargins="0"/>
  <colBreaks count="3" manualBreakCount="3">
    <brk id="15" max="48" man="1"/>
    <brk id="28" max="48" man="1"/>
    <brk id="41" max="48"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3652B-14F9-4B9F-9387-EC36C6135B10}">
  <sheetPr codeName="Sheet5">
    <tabColor rgb="FFFF0000"/>
  </sheetPr>
  <dimension ref="A1:BC52"/>
  <sheetViews>
    <sheetView zoomScaleNormal="100" workbookViewId="0">
      <selection activeCell="C22" sqref="C22"/>
    </sheetView>
  </sheetViews>
  <sheetFormatPr defaultColWidth="6.7109375" defaultRowHeight="12.75" x14ac:dyDescent="0.2"/>
  <cols>
    <col min="1" max="1" width="7.28515625" style="42" customWidth="1"/>
    <col min="2" max="2" width="56.140625" style="42" customWidth="1"/>
    <col min="3" max="3" width="9.42578125" style="43" customWidth="1"/>
    <col min="4" max="52" width="9.42578125" style="42" customWidth="1"/>
    <col min="53" max="53" width="10.7109375" style="42" customWidth="1"/>
    <col min="54" max="54" width="9.42578125" style="42" customWidth="1"/>
    <col min="55" max="55" width="8.7109375" style="42" bestFit="1" customWidth="1"/>
    <col min="56" max="16384" width="6.7109375" style="42"/>
  </cols>
  <sheetData>
    <row r="1" spans="1:55" ht="49.5" customHeight="1" x14ac:dyDescent="0.4">
      <c r="A1" s="143" t="s">
        <v>177</v>
      </c>
      <c r="B1" s="144"/>
      <c r="C1" s="144"/>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c r="AH1" s="144"/>
      <c r="AI1" s="144"/>
      <c r="AJ1" s="144"/>
      <c r="AK1" s="144"/>
      <c r="AL1" s="144"/>
      <c r="AM1" s="144"/>
      <c r="AN1" s="144"/>
      <c r="AO1" s="144"/>
      <c r="AP1" s="144"/>
      <c r="AQ1" s="144"/>
      <c r="AR1" s="144"/>
      <c r="AS1" s="144"/>
      <c r="AT1" s="144"/>
      <c r="AU1" s="144"/>
      <c r="AV1" s="144"/>
      <c r="AW1" s="144"/>
      <c r="AX1" s="144"/>
      <c r="AY1" s="144"/>
      <c r="AZ1" s="144"/>
      <c r="BA1" s="144"/>
      <c r="BB1" s="144"/>
      <c r="BC1" s="144"/>
    </row>
    <row r="2" spans="1:55" ht="13.5" thickBot="1" x14ac:dyDescent="0.25">
      <c r="A2" s="4"/>
      <c r="B2" s="7" t="s">
        <v>178</v>
      </c>
      <c r="C2" s="5">
        <v>1</v>
      </c>
      <c r="D2" s="5">
        <v>2</v>
      </c>
      <c r="E2" s="5">
        <v>3</v>
      </c>
      <c r="F2" s="5">
        <v>4</v>
      </c>
      <c r="G2" s="5">
        <v>5</v>
      </c>
      <c r="H2" s="5">
        <v>6</v>
      </c>
      <c r="I2" s="5">
        <v>7</v>
      </c>
      <c r="J2" s="5">
        <v>8</v>
      </c>
      <c r="K2" s="5">
        <v>9</v>
      </c>
      <c r="L2" s="5">
        <v>10</v>
      </c>
      <c r="M2" s="5">
        <v>11</v>
      </c>
      <c r="N2" s="5">
        <v>12</v>
      </c>
      <c r="O2" s="5">
        <v>13</v>
      </c>
      <c r="P2" s="5">
        <v>14</v>
      </c>
      <c r="Q2" s="5">
        <v>15</v>
      </c>
      <c r="R2" s="5">
        <v>16</v>
      </c>
      <c r="S2" s="5">
        <v>17</v>
      </c>
      <c r="T2" s="5">
        <v>18</v>
      </c>
      <c r="U2" s="5">
        <v>19</v>
      </c>
      <c r="V2" s="5">
        <v>20</v>
      </c>
      <c r="W2" s="5">
        <v>21</v>
      </c>
      <c r="X2" s="5">
        <v>22</v>
      </c>
      <c r="Y2" s="5">
        <v>23</v>
      </c>
      <c r="Z2" s="5">
        <v>24</v>
      </c>
      <c r="AA2" s="5">
        <v>25</v>
      </c>
      <c r="AB2" s="5">
        <v>26</v>
      </c>
      <c r="AC2" s="5">
        <v>27</v>
      </c>
      <c r="AD2" s="5">
        <v>28</v>
      </c>
      <c r="AE2" s="5">
        <v>29</v>
      </c>
      <c r="AF2" s="5">
        <v>30</v>
      </c>
      <c r="AG2" s="5">
        <v>31</v>
      </c>
      <c r="AH2" s="5">
        <v>32</v>
      </c>
      <c r="AI2" s="5">
        <v>33</v>
      </c>
      <c r="AJ2" s="5">
        <v>34</v>
      </c>
      <c r="AK2" s="5">
        <v>35</v>
      </c>
      <c r="AL2" s="5">
        <v>36</v>
      </c>
      <c r="AM2" s="5">
        <v>37</v>
      </c>
      <c r="AN2" s="5">
        <v>38</v>
      </c>
      <c r="AO2" s="5">
        <v>39</v>
      </c>
      <c r="AP2" s="5">
        <v>40</v>
      </c>
      <c r="AQ2" s="5">
        <v>41</v>
      </c>
      <c r="AR2" s="5">
        <v>42</v>
      </c>
      <c r="AS2" s="5">
        <v>43</v>
      </c>
      <c r="AT2" s="5">
        <v>44</v>
      </c>
      <c r="AU2" s="5">
        <v>45</v>
      </c>
      <c r="AV2" s="5">
        <v>46</v>
      </c>
      <c r="AW2" s="5">
        <v>47</v>
      </c>
      <c r="AX2" s="5">
        <v>48</v>
      </c>
      <c r="AY2" s="5">
        <v>49</v>
      </c>
      <c r="AZ2" s="5">
        <v>50</v>
      </c>
      <c r="BA2" s="5">
        <v>51</v>
      </c>
      <c r="BB2" s="5">
        <v>52</v>
      </c>
      <c r="BC2" s="5">
        <v>53</v>
      </c>
    </row>
    <row r="3" spans="1:55" s="45" customFormat="1" ht="24.75" thickBot="1" x14ac:dyDescent="0.25">
      <c r="A3" s="6"/>
      <c r="B3" s="50" t="s">
        <v>179</v>
      </c>
      <c r="C3" s="51">
        <v>45655</v>
      </c>
      <c r="D3" s="51">
        <v>45662</v>
      </c>
      <c r="E3" s="51">
        <v>45669</v>
      </c>
      <c r="F3" s="51">
        <v>45676</v>
      </c>
      <c r="G3" s="51">
        <v>45683</v>
      </c>
      <c r="H3" s="51">
        <v>45690</v>
      </c>
      <c r="I3" s="51">
        <v>45697</v>
      </c>
      <c r="J3" s="51">
        <v>45704</v>
      </c>
      <c r="K3" s="51">
        <v>45711</v>
      </c>
      <c r="L3" s="51">
        <v>45718</v>
      </c>
      <c r="M3" s="51">
        <v>45725</v>
      </c>
      <c r="N3" s="51">
        <v>45732</v>
      </c>
      <c r="O3" s="51">
        <v>45739</v>
      </c>
      <c r="P3" s="51">
        <v>45746</v>
      </c>
      <c r="Q3" s="51">
        <v>45753</v>
      </c>
      <c r="R3" s="51">
        <v>45760</v>
      </c>
      <c r="S3" s="51">
        <v>45767</v>
      </c>
      <c r="T3" s="51">
        <v>45774</v>
      </c>
      <c r="U3" s="51">
        <v>45781</v>
      </c>
      <c r="V3" s="51">
        <v>45788</v>
      </c>
      <c r="W3" s="51">
        <v>45795</v>
      </c>
      <c r="X3" s="51">
        <v>45802</v>
      </c>
      <c r="Y3" s="51">
        <v>45809</v>
      </c>
      <c r="Z3" s="51">
        <v>45816</v>
      </c>
      <c r="AA3" s="51">
        <v>45823</v>
      </c>
      <c r="AB3" s="51">
        <v>45830</v>
      </c>
      <c r="AC3" s="51">
        <v>45837</v>
      </c>
      <c r="AD3" s="51">
        <v>45844</v>
      </c>
      <c r="AE3" s="51">
        <v>45851</v>
      </c>
      <c r="AF3" s="51">
        <v>45858</v>
      </c>
      <c r="AG3" s="51">
        <v>45865</v>
      </c>
      <c r="AH3" s="51">
        <v>45872</v>
      </c>
      <c r="AI3" s="51">
        <v>45879</v>
      </c>
      <c r="AJ3" s="51">
        <v>45886</v>
      </c>
      <c r="AK3" s="51">
        <v>45893</v>
      </c>
      <c r="AL3" s="51">
        <v>45900</v>
      </c>
      <c r="AM3" s="51">
        <v>45907</v>
      </c>
      <c r="AN3" s="51">
        <v>45914</v>
      </c>
      <c r="AO3" s="51">
        <v>45921</v>
      </c>
      <c r="AP3" s="51">
        <v>45928</v>
      </c>
      <c r="AQ3" s="51">
        <v>45935</v>
      </c>
      <c r="AR3" s="51">
        <v>45942</v>
      </c>
      <c r="AS3" s="51">
        <v>45949</v>
      </c>
      <c r="AT3" s="51">
        <v>45956</v>
      </c>
      <c r="AU3" s="51">
        <v>45963</v>
      </c>
      <c r="AV3" s="51">
        <v>45970</v>
      </c>
      <c r="AW3" s="51">
        <v>45977</v>
      </c>
      <c r="AX3" s="51">
        <v>45984</v>
      </c>
      <c r="AY3" s="51">
        <v>45991</v>
      </c>
      <c r="AZ3" s="51">
        <v>45998</v>
      </c>
      <c r="BA3" s="51">
        <v>46005</v>
      </c>
      <c r="BB3" s="51">
        <v>46012</v>
      </c>
      <c r="BC3" s="51">
        <v>46019</v>
      </c>
    </row>
    <row r="4" spans="1:55" x14ac:dyDescent="0.2">
      <c r="A4" s="9" t="s">
        <v>180</v>
      </c>
      <c r="B4" s="10"/>
      <c r="C4" s="11">
        <v>4500</v>
      </c>
      <c r="D4" s="11">
        <v>5539</v>
      </c>
      <c r="E4" s="11">
        <v>5679</v>
      </c>
      <c r="F4" s="11">
        <v>5453</v>
      </c>
      <c r="G4" s="11">
        <v>5069</v>
      </c>
      <c r="H4" s="11">
        <v>5108</v>
      </c>
      <c r="I4" s="11">
        <v>5437</v>
      </c>
      <c r="J4" s="11">
        <v>5012</v>
      </c>
      <c r="K4" s="11">
        <v>5463</v>
      </c>
      <c r="L4" s="11">
        <v>5379</v>
      </c>
      <c r="M4" s="11">
        <v>5849</v>
      </c>
      <c r="N4" s="11">
        <v>6001</v>
      </c>
      <c r="O4" s="11">
        <v>5561</v>
      </c>
      <c r="P4" s="11">
        <v>4934</v>
      </c>
      <c r="Q4" s="11">
        <v>5547</v>
      </c>
      <c r="R4" s="11">
        <v>5558</v>
      </c>
      <c r="S4" s="11">
        <v>5418</v>
      </c>
      <c r="T4" s="11">
        <v>5247</v>
      </c>
      <c r="U4" s="11">
        <v>5358</v>
      </c>
      <c r="V4" s="11">
        <v>5386</v>
      </c>
      <c r="W4" s="11">
        <v>5353</v>
      </c>
      <c r="X4" s="11">
        <v>5333</v>
      </c>
      <c r="Y4" s="11">
        <v>5035</v>
      </c>
      <c r="Z4" s="11">
        <v>5043</v>
      </c>
      <c r="AA4" s="11">
        <v>4855</v>
      </c>
      <c r="AB4" s="11">
        <v>4822</v>
      </c>
      <c r="AC4" s="11">
        <v>4741</v>
      </c>
      <c r="AD4" s="11">
        <v>5118</v>
      </c>
      <c r="AE4" s="11">
        <v>4942</v>
      </c>
      <c r="AF4" s="11">
        <v>5077</v>
      </c>
      <c r="AG4" s="11">
        <v>5072</v>
      </c>
      <c r="AH4" s="11">
        <v>4718</v>
      </c>
      <c r="AI4" s="11">
        <v>4921</v>
      </c>
      <c r="AJ4" s="11">
        <v>4887</v>
      </c>
      <c r="AK4" s="11">
        <v>4835</v>
      </c>
      <c r="AL4" s="11">
        <v>4950</v>
      </c>
      <c r="AM4" s="11">
        <v>5106</v>
      </c>
      <c r="AN4" s="11">
        <v>4892</v>
      </c>
      <c r="AO4" s="11">
        <v>4803</v>
      </c>
      <c r="AP4" s="11">
        <v>4638</v>
      </c>
      <c r="AQ4" s="11">
        <v>4666</v>
      </c>
      <c r="AR4" s="11">
        <v>4601</v>
      </c>
      <c r="AS4" s="11">
        <v>4697</v>
      </c>
      <c r="AT4" s="11">
        <v>4959</v>
      </c>
      <c r="AU4" s="11">
        <v>4852</v>
      </c>
      <c r="AV4" s="11">
        <v>4860</v>
      </c>
      <c r="AW4" s="11">
        <v>5112</v>
      </c>
      <c r="AX4" s="11">
        <v>4970</v>
      </c>
      <c r="AY4" s="11">
        <v>4795</v>
      </c>
      <c r="AZ4" s="11">
        <v>4707</v>
      </c>
      <c r="BA4" s="11">
        <v>4624</v>
      </c>
      <c r="BB4" s="11">
        <v>3762</v>
      </c>
      <c r="BC4" s="11">
        <v>4070</v>
      </c>
    </row>
    <row r="5" spans="1:55" x14ac:dyDescent="0.2">
      <c r="A5" s="12"/>
      <c r="B5" s="15" t="s">
        <v>181</v>
      </c>
      <c r="C5" s="13">
        <v>1478</v>
      </c>
      <c r="D5" s="13">
        <v>2357</v>
      </c>
      <c r="E5" s="13">
        <v>2498</v>
      </c>
      <c r="F5" s="13">
        <v>2229</v>
      </c>
      <c r="G5" s="13">
        <v>2017</v>
      </c>
      <c r="H5" s="13">
        <v>2081</v>
      </c>
      <c r="I5" s="13">
        <v>2362</v>
      </c>
      <c r="J5" s="13">
        <v>1994</v>
      </c>
      <c r="K5" s="13">
        <v>2133</v>
      </c>
      <c r="L5" s="13">
        <v>2190</v>
      </c>
      <c r="M5" s="13">
        <v>2577</v>
      </c>
      <c r="N5" s="13">
        <v>2794</v>
      </c>
      <c r="O5" s="13">
        <v>2497</v>
      </c>
      <c r="P5" s="13">
        <v>2071</v>
      </c>
      <c r="Q5" s="13">
        <v>2357</v>
      </c>
      <c r="R5" s="13">
        <v>2461</v>
      </c>
      <c r="S5" s="13">
        <v>2370</v>
      </c>
      <c r="T5" s="13">
        <v>2278</v>
      </c>
      <c r="U5" s="13">
        <v>2399</v>
      </c>
      <c r="V5" s="13">
        <v>2437</v>
      </c>
      <c r="W5" s="13">
        <v>2307</v>
      </c>
      <c r="X5" s="13">
        <v>2384</v>
      </c>
      <c r="Y5" s="13">
        <v>2248</v>
      </c>
      <c r="Z5" s="13">
        <v>2205</v>
      </c>
      <c r="AA5" s="13">
        <v>2128</v>
      </c>
      <c r="AB5" s="13">
        <v>2100</v>
      </c>
      <c r="AC5" s="13">
        <v>1852</v>
      </c>
      <c r="AD5" s="13">
        <v>2333</v>
      </c>
      <c r="AE5" s="13">
        <v>2058</v>
      </c>
      <c r="AF5" s="13">
        <v>2236</v>
      </c>
      <c r="AG5" s="13">
        <v>2114</v>
      </c>
      <c r="AH5" s="13">
        <v>1805</v>
      </c>
      <c r="AI5" s="13">
        <v>2049</v>
      </c>
      <c r="AJ5" s="13">
        <v>2001</v>
      </c>
      <c r="AK5" s="13">
        <v>1964</v>
      </c>
      <c r="AL5" s="13">
        <v>1967</v>
      </c>
      <c r="AM5" s="13">
        <v>2121</v>
      </c>
      <c r="AN5" s="13">
        <v>2144</v>
      </c>
      <c r="AO5" s="13">
        <v>2035</v>
      </c>
      <c r="AP5" s="13">
        <v>1924</v>
      </c>
      <c r="AQ5" s="13">
        <v>2009</v>
      </c>
      <c r="AR5" s="13">
        <v>1733</v>
      </c>
      <c r="AS5" s="13">
        <v>1887</v>
      </c>
      <c r="AT5" s="13">
        <v>2106</v>
      </c>
      <c r="AU5" s="13">
        <v>1959</v>
      </c>
      <c r="AV5" s="13">
        <v>1899</v>
      </c>
      <c r="AW5" s="13">
        <v>1959</v>
      </c>
      <c r="AX5" s="13">
        <v>1930</v>
      </c>
      <c r="AY5" s="13">
        <v>1946</v>
      </c>
      <c r="AZ5" s="13">
        <v>1889</v>
      </c>
      <c r="BA5" s="13">
        <v>1875</v>
      </c>
      <c r="BB5" s="13">
        <v>1153</v>
      </c>
      <c r="BC5" s="13">
        <v>1133</v>
      </c>
    </row>
    <row r="6" spans="1:55" x14ac:dyDescent="0.2">
      <c r="A6" s="12"/>
      <c r="B6" s="15" t="s">
        <v>182</v>
      </c>
      <c r="C6" s="13">
        <v>356</v>
      </c>
      <c r="D6" s="13">
        <v>541</v>
      </c>
      <c r="E6" s="13">
        <v>577</v>
      </c>
      <c r="F6" s="13">
        <v>633</v>
      </c>
      <c r="G6" s="13">
        <v>625</v>
      </c>
      <c r="H6" s="13">
        <v>647</v>
      </c>
      <c r="I6" s="13">
        <v>594</v>
      </c>
      <c r="J6" s="13">
        <v>480</v>
      </c>
      <c r="K6" s="13">
        <v>752</v>
      </c>
      <c r="L6" s="13">
        <v>639</v>
      </c>
      <c r="M6" s="13">
        <v>679</v>
      </c>
      <c r="N6" s="13">
        <v>714</v>
      </c>
      <c r="O6" s="13">
        <v>602</v>
      </c>
      <c r="P6" s="13">
        <v>685</v>
      </c>
      <c r="Q6" s="13">
        <v>745</v>
      </c>
      <c r="R6" s="13">
        <v>668</v>
      </c>
      <c r="S6" s="13">
        <v>654</v>
      </c>
      <c r="T6" s="13">
        <v>699</v>
      </c>
      <c r="U6" s="13">
        <v>646</v>
      </c>
      <c r="V6" s="13">
        <v>624</v>
      </c>
      <c r="W6" s="13">
        <v>780</v>
      </c>
      <c r="X6" s="13">
        <v>679</v>
      </c>
      <c r="Y6" s="13">
        <v>714</v>
      </c>
      <c r="Z6" s="13">
        <v>641</v>
      </c>
      <c r="AA6" s="13">
        <v>568</v>
      </c>
      <c r="AB6" s="13">
        <v>614</v>
      </c>
      <c r="AC6" s="13">
        <v>519</v>
      </c>
      <c r="AD6" s="13">
        <v>625</v>
      </c>
      <c r="AE6" s="13">
        <v>572</v>
      </c>
      <c r="AF6" s="13">
        <v>524</v>
      </c>
      <c r="AG6" s="13">
        <v>560</v>
      </c>
      <c r="AH6" s="13">
        <v>530</v>
      </c>
      <c r="AI6" s="13">
        <v>575</v>
      </c>
      <c r="AJ6" s="13">
        <v>501</v>
      </c>
      <c r="AK6" s="13">
        <v>598</v>
      </c>
      <c r="AL6" s="13">
        <v>542</v>
      </c>
      <c r="AM6" s="13">
        <v>548</v>
      </c>
      <c r="AN6" s="13">
        <v>453</v>
      </c>
      <c r="AO6" s="13">
        <v>500</v>
      </c>
      <c r="AP6" s="13">
        <v>457</v>
      </c>
      <c r="AQ6" s="13">
        <v>434</v>
      </c>
      <c r="AR6" s="13">
        <v>522</v>
      </c>
      <c r="AS6" s="13">
        <v>570</v>
      </c>
      <c r="AT6" s="13">
        <v>532</v>
      </c>
      <c r="AU6" s="13">
        <v>585</v>
      </c>
      <c r="AV6" s="13">
        <v>589</v>
      </c>
      <c r="AW6" s="13">
        <v>676</v>
      </c>
      <c r="AX6" s="13">
        <v>572</v>
      </c>
      <c r="AY6" s="13">
        <v>510</v>
      </c>
      <c r="AZ6" s="13">
        <v>554</v>
      </c>
      <c r="BA6" s="13">
        <v>442</v>
      </c>
      <c r="BB6" s="13">
        <v>205</v>
      </c>
      <c r="BC6" s="13">
        <v>360</v>
      </c>
    </row>
    <row r="7" spans="1:55" x14ac:dyDescent="0.2">
      <c r="A7" s="12"/>
      <c r="B7" s="15" t="s">
        <v>183</v>
      </c>
      <c r="C7" s="13">
        <v>2666</v>
      </c>
      <c r="D7" s="13">
        <v>2641</v>
      </c>
      <c r="E7" s="13">
        <v>2604</v>
      </c>
      <c r="F7" s="13">
        <v>2591</v>
      </c>
      <c r="G7" s="13">
        <v>2427</v>
      </c>
      <c r="H7" s="13">
        <v>2380</v>
      </c>
      <c r="I7" s="13">
        <v>2481</v>
      </c>
      <c r="J7" s="13">
        <v>2538</v>
      </c>
      <c r="K7" s="13">
        <v>2578</v>
      </c>
      <c r="L7" s="13">
        <v>2550</v>
      </c>
      <c r="M7" s="13">
        <v>2593</v>
      </c>
      <c r="N7" s="13">
        <v>2493</v>
      </c>
      <c r="O7" s="13">
        <v>2462</v>
      </c>
      <c r="P7" s="13">
        <v>2178</v>
      </c>
      <c r="Q7" s="13">
        <v>2445</v>
      </c>
      <c r="R7" s="13">
        <v>2429</v>
      </c>
      <c r="S7" s="13">
        <v>2394</v>
      </c>
      <c r="T7" s="13">
        <v>2270</v>
      </c>
      <c r="U7" s="13">
        <v>2313</v>
      </c>
      <c r="V7" s="13">
        <v>2325</v>
      </c>
      <c r="W7" s="13">
        <v>2266</v>
      </c>
      <c r="X7" s="13">
        <v>2270</v>
      </c>
      <c r="Y7" s="13">
        <v>2073</v>
      </c>
      <c r="Z7" s="13">
        <v>2197</v>
      </c>
      <c r="AA7" s="13">
        <v>2159</v>
      </c>
      <c r="AB7" s="13">
        <v>2108</v>
      </c>
      <c r="AC7" s="13">
        <v>2370</v>
      </c>
      <c r="AD7" s="13">
        <v>2160</v>
      </c>
      <c r="AE7" s="13">
        <v>2312</v>
      </c>
      <c r="AF7" s="13">
        <v>2317</v>
      </c>
      <c r="AG7" s="13">
        <v>2398</v>
      </c>
      <c r="AH7" s="13">
        <v>2383</v>
      </c>
      <c r="AI7" s="13">
        <v>2297</v>
      </c>
      <c r="AJ7" s="13">
        <v>2385</v>
      </c>
      <c r="AK7" s="13">
        <v>2273</v>
      </c>
      <c r="AL7" s="13">
        <v>2441</v>
      </c>
      <c r="AM7" s="13">
        <v>2437</v>
      </c>
      <c r="AN7" s="13">
        <v>2295</v>
      </c>
      <c r="AO7" s="13">
        <v>2268</v>
      </c>
      <c r="AP7" s="13">
        <v>2257</v>
      </c>
      <c r="AQ7" s="13">
        <v>2223</v>
      </c>
      <c r="AR7" s="13">
        <v>2346</v>
      </c>
      <c r="AS7" s="13">
        <v>2240</v>
      </c>
      <c r="AT7" s="13">
        <v>2321</v>
      </c>
      <c r="AU7" s="13">
        <v>2308</v>
      </c>
      <c r="AV7" s="13">
        <v>2372</v>
      </c>
      <c r="AW7" s="13">
        <v>2477</v>
      </c>
      <c r="AX7" s="13">
        <v>2468</v>
      </c>
      <c r="AY7" s="13">
        <v>2339</v>
      </c>
      <c r="AZ7" s="13">
        <v>2264</v>
      </c>
      <c r="BA7" s="13">
        <v>2307</v>
      </c>
      <c r="BB7" s="13">
        <v>2404</v>
      </c>
      <c r="BC7" s="13">
        <v>2577</v>
      </c>
    </row>
    <row r="8" spans="1:55" x14ac:dyDescent="0.2">
      <c r="A8" s="12"/>
      <c r="B8" s="15"/>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row>
    <row r="9" spans="1:55" x14ac:dyDescent="0.2">
      <c r="A9" s="16" t="s">
        <v>184</v>
      </c>
      <c r="B9" s="12"/>
      <c r="C9" s="11">
        <v>15547</v>
      </c>
      <c r="D9" s="11">
        <v>16885</v>
      </c>
      <c r="E9" s="11">
        <v>16228</v>
      </c>
      <c r="F9" s="11">
        <v>16340</v>
      </c>
      <c r="G9" s="11">
        <v>16253</v>
      </c>
      <c r="H9" s="11">
        <v>15876</v>
      </c>
      <c r="I9" s="11">
        <v>16821</v>
      </c>
      <c r="J9" s="11">
        <v>14806</v>
      </c>
      <c r="K9" s="11">
        <v>17834</v>
      </c>
      <c r="L9" s="11">
        <v>16078</v>
      </c>
      <c r="M9" s="11">
        <v>17430</v>
      </c>
      <c r="N9" s="11">
        <v>17411</v>
      </c>
      <c r="O9" s="11">
        <v>16930</v>
      </c>
      <c r="P9" s="11">
        <v>16149</v>
      </c>
      <c r="Q9" s="11">
        <v>16179</v>
      </c>
      <c r="R9" s="11">
        <v>15927</v>
      </c>
      <c r="S9" s="11">
        <v>16341</v>
      </c>
      <c r="T9" s="11">
        <v>15861</v>
      </c>
      <c r="U9" s="11">
        <v>15871</v>
      </c>
      <c r="V9" s="11">
        <v>15923</v>
      </c>
      <c r="W9" s="11">
        <v>15470</v>
      </c>
      <c r="X9" s="11">
        <v>14828</v>
      </c>
      <c r="Y9" s="11">
        <v>15951</v>
      </c>
      <c r="Z9" s="11">
        <v>15738</v>
      </c>
      <c r="AA9" s="11">
        <v>15539</v>
      </c>
      <c r="AB9" s="11">
        <v>15242</v>
      </c>
      <c r="AC9" s="11">
        <v>15089</v>
      </c>
      <c r="AD9" s="11">
        <v>15325</v>
      </c>
      <c r="AE9" s="11">
        <v>15997</v>
      </c>
      <c r="AF9" s="11">
        <v>16037</v>
      </c>
      <c r="AG9" s="11">
        <v>15960</v>
      </c>
      <c r="AH9" s="11">
        <v>15293</v>
      </c>
      <c r="AI9" s="11">
        <v>16209</v>
      </c>
      <c r="AJ9" s="11">
        <v>16337</v>
      </c>
      <c r="AK9" s="11">
        <v>17020</v>
      </c>
      <c r="AL9" s="11">
        <v>16458</v>
      </c>
      <c r="AM9" s="11">
        <v>16104</v>
      </c>
      <c r="AN9" s="11">
        <v>15634</v>
      </c>
      <c r="AO9" s="11">
        <v>17046</v>
      </c>
      <c r="AP9" s="11">
        <v>16419</v>
      </c>
      <c r="AQ9" s="11">
        <v>16420</v>
      </c>
      <c r="AR9" s="11">
        <v>15884</v>
      </c>
      <c r="AS9" s="11">
        <v>16089</v>
      </c>
      <c r="AT9" s="11">
        <v>16293</v>
      </c>
      <c r="AU9" s="11">
        <v>18827</v>
      </c>
      <c r="AV9" s="11">
        <v>17228</v>
      </c>
      <c r="AW9" s="11">
        <v>17121</v>
      </c>
      <c r="AX9" s="11">
        <v>16588</v>
      </c>
      <c r="AY9" s="11">
        <v>17524</v>
      </c>
      <c r="AZ9" s="11">
        <v>15925</v>
      </c>
      <c r="BA9" s="11">
        <v>16599</v>
      </c>
      <c r="BB9" s="11">
        <v>13897</v>
      </c>
      <c r="BC9" s="11">
        <v>14921</v>
      </c>
    </row>
    <row r="10" spans="1:55" x14ac:dyDescent="0.2">
      <c r="A10" s="12"/>
      <c r="B10" s="15" t="s">
        <v>185</v>
      </c>
      <c r="C10" s="13">
        <v>8141</v>
      </c>
      <c r="D10" s="13">
        <v>8546</v>
      </c>
      <c r="E10" s="13">
        <v>8561</v>
      </c>
      <c r="F10" s="13">
        <v>8126</v>
      </c>
      <c r="G10" s="13">
        <v>8265</v>
      </c>
      <c r="H10" s="13">
        <v>8564</v>
      </c>
      <c r="I10" s="13">
        <v>8792</v>
      </c>
      <c r="J10" s="13">
        <v>7631</v>
      </c>
      <c r="K10" s="13">
        <v>9389</v>
      </c>
      <c r="L10" s="13">
        <v>8659</v>
      </c>
      <c r="M10" s="13">
        <v>9364</v>
      </c>
      <c r="N10" s="13">
        <v>9478</v>
      </c>
      <c r="O10" s="13">
        <v>9064</v>
      </c>
      <c r="P10" s="13">
        <v>9199</v>
      </c>
      <c r="Q10" s="13">
        <v>8726</v>
      </c>
      <c r="R10" s="13">
        <v>8756</v>
      </c>
      <c r="S10" s="13">
        <v>9621</v>
      </c>
      <c r="T10" s="13">
        <v>8965</v>
      </c>
      <c r="U10" s="13">
        <v>8884</v>
      </c>
      <c r="V10" s="13">
        <v>9280</v>
      </c>
      <c r="W10" s="13">
        <v>9064</v>
      </c>
      <c r="X10" s="13">
        <v>8472</v>
      </c>
      <c r="Y10" s="13">
        <v>8994</v>
      </c>
      <c r="Z10" s="13">
        <v>8769</v>
      </c>
      <c r="AA10" s="13">
        <v>8450</v>
      </c>
      <c r="AB10" s="13">
        <v>8747</v>
      </c>
      <c r="AC10" s="13">
        <v>8327</v>
      </c>
      <c r="AD10" s="13">
        <v>8548</v>
      </c>
      <c r="AE10" s="13">
        <v>8563</v>
      </c>
      <c r="AF10" s="13">
        <v>8392</v>
      </c>
      <c r="AG10" s="13">
        <v>8589</v>
      </c>
      <c r="AH10" s="13">
        <v>8873</v>
      </c>
      <c r="AI10" s="13">
        <v>9383</v>
      </c>
      <c r="AJ10" s="13">
        <v>9137</v>
      </c>
      <c r="AK10" s="13">
        <v>9037</v>
      </c>
      <c r="AL10" s="13">
        <v>8846</v>
      </c>
      <c r="AM10" s="13">
        <v>8602</v>
      </c>
      <c r="AN10" s="13">
        <v>8501</v>
      </c>
      <c r="AO10" s="13">
        <v>9243</v>
      </c>
      <c r="AP10" s="13">
        <v>8978</v>
      </c>
      <c r="AQ10" s="13">
        <v>8693</v>
      </c>
      <c r="AR10" s="13">
        <v>8638</v>
      </c>
      <c r="AS10" s="13">
        <v>8193</v>
      </c>
      <c r="AT10" s="13">
        <v>8644</v>
      </c>
      <c r="AU10" s="13">
        <v>9740</v>
      </c>
      <c r="AV10" s="13">
        <v>8851</v>
      </c>
      <c r="AW10" s="13">
        <v>8865</v>
      </c>
      <c r="AX10" s="13">
        <v>8151</v>
      </c>
      <c r="AY10" s="13">
        <v>9227</v>
      </c>
      <c r="AZ10" s="13">
        <v>8031</v>
      </c>
      <c r="BA10" s="13">
        <v>8173</v>
      </c>
      <c r="BB10" s="13">
        <v>7263</v>
      </c>
      <c r="BC10" s="13">
        <v>8056</v>
      </c>
    </row>
    <row r="11" spans="1:55" x14ac:dyDescent="0.2">
      <c r="A11" s="12"/>
      <c r="B11" s="15" t="s">
        <v>186</v>
      </c>
      <c r="C11" s="13">
        <v>6455</v>
      </c>
      <c r="D11" s="13">
        <v>6882</v>
      </c>
      <c r="E11" s="13">
        <v>6443</v>
      </c>
      <c r="F11" s="13">
        <v>6996</v>
      </c>
      <c r="G11" s="13">
        <v>6589</v>
      </c>
      <c r="H11" s="13">
        <v>6321</v>
      </c>
      <c r="I11" s="13">
        <v>6905</v>
      </c>
      <c r="J11" s="13">
        <v>6147</v>
      </c>
      <c r="K11" s="13">
        <v>6922</v>
      </c>
      <c r="L11" s="13">
        <v>6653</v>
      </c>
      <c r="M11" s="13">
        <v>6668</v>
      </c>
      <c r="N11" s="13">
        <v>6637</v>
      </c>
      <c r="O11" s="13">
        <v>6467</v>
      </c>
      <c r="P11" s="13">
        <v>5517</v>
      </c>
      <c r="Q11" s="13">
        <v>6140</v>
      </c>
      <c r="R11" s="13">
        <v>5807</v>
      </c>
      <c r="S11" s="13">
        <v>5455</v>
      </c>
      <c r="T11" s="13">
        <v>5391</v>
      </c>
      <c r="U11" s="13">
        <v>5841</v>
      </c>
      <c r="V11" s="13">
        <v>5404</v>
      </c>
      <c r="W11" s="13">
        <v>5596</v>
      </c>
      <c r="X11" s="13">
        <v>5250</v>
      </c>
      <c r="Y11" s="13">
        <v>5929</v>
      </c>
      <c r="Z11" s="13">
        <v>6096</v>
      </c>
      <c r="AA11" s="13">
        <v>6191</v>
      </c>
      <c r="AB11" s="13">
        <v>5670</v>
      </c>
      <c r="AC11" s="13">
        <v>5851</v>
      </c>
      <c r="AD11" s="13">
        <v>5724</v>
      </c>
      <c r="AE11" s="13">
        <v>6360</v>
      </c>
      <c r="AF11" s="13">
        <v>6334</v>
      </c>
      <c r="AG11" s="13">
        <v>6241</v>
      </c>
      <c r="AH11" s="13">
        <v>5605</v>
      </c>
      <c r="AI11" s="13">
        <v>5990</v>
      </c>
      <c r="AJ11" s="13">
        <v>6375</v>
      </c>
      <c r="AK11" s="13">
        <v>6850</v>
      </c>
      <c r="AL11" s="13">
        <v>6554</v>
      </c>
      <c r="AM11" s="13">
        <v>6237</v>
      </c>
      <c r="AN11" s="13">
        <v>6189</v>
      </c>
      <c r="AO11" s="13">
        <v>6457</v>
      </c>
      <c r="AP11" s="13">
        <v>6500</v>
      </c>
      <c r="AQ11" s="13">
        <v>6550</v>
      </c>
      <c r="AR11" s="13">
        <v>6205</v>
      </c>
      <c r="AS11" s="13">
        <v>6487</v>
      </c>
      <c r="AT11" s="13">
        <v>6136</v>
      </c>
      <c r="AU11" s="13">
        <v>7745</v>
      </c>
      <c r="AV11" s="13">
        <v>6851</v>
      </c>
      <c r="AW11" s="13">
        <v>7318</v>
      </c>
      <c r="AX11" s="13">
        <v>6928</v>
      </c>
      <c r="AY11" s="13">
        <v>6687</v>
      </c>
      <c r="AZ11" s="13">
        <v>6488</v>
      </c>
      <c r="BA11" s="13">
        <v>7585</v>
      </c>
      <c r="BB11" s="13">
        <v>5884</v>
      </c>
      <c r="BC11" s="13">
        <v>6301</v>
      </c>
    </row>
    <row r="12" spans="1:55" x14ac:dyDescent="0.2">
      <c r="A12" s="12"/>
      <c r="B12" s="15" t="s">
        <v>187</v>
      </c>
      <c r="C12" s="13">
        <v>951</v>
      </c>
      <c r="D12" s="13">
        <v>1457</v>
      </c>
      <c r="E12" s="13">
        <v>1224</v>
      </c>
      <c r="F12" s="13">
        <v>1218</v>
      </c>
      <c r="G12" s="13">
        <v>1399</v>
      </c>
      <c r="H12" s="13">
        <v>991</v>
      </c>
      <c r="I12" s="13">
        <v>1124</v>
      </c>
      <c r="J12" s="13">
        <v>1028</v>
      </c>
      <c r="K12" s="13">
        <v>1523</v>
      </c>
      <c r="L12" s="13">
        <v>766</v>
      </c>
      <c r="M12" s="13">
        <v>1398</v>
      </c>
      <c r="N12" s="13">
        <v>1296</v>
      </c>
      <c r="O12" s="13">
        <v>1399</v>
      </c>
      <c r="P12" s="13">
        <v>1433</v>
      </c>
      <c r="Q12" s="13">
        <v>1313</v>
      </c>
      <c r="R12" s="13">
        <v>1364</v>
      </c>
      <c r="S12" s="13">
        <v>1265</v>
      </c>
      <c r="T12" s="13">
        <v>1505</v>
      </c>
      <c r="U12" s="13">
        <v>1146</v>
      </c>
      <c r="V12" s="13">
        <v>1239</v>
      </c>
      <c r="W12" s="13">
        <v>810</v>
      </c>
      <c r="X12" s="13">
        <v>1106</v>
      </c>
      <c r="Y12" s="13">
        <v>1028</v>
      </c>
      <c r="Z12" s="13">
        <v>873</v>
      </c>
      <c r="AA12" s="13">
        <v>898</v>
      </c>
      <c r="AB12" s="13">
        <v>825</v>
      </c>
      <c r="AC12" s="13">
        <v>911</v>
      </c>
      <c r="AD12" s="13">
        <v>1053</v>
      </c>
      <c r="AE12" s="13">
        <v>1074</v>
      </c>
      <c r="AF12" s="13">
        <v>1311</v>
      </c>
      <c r="AG12" s="13">
        <v>1130</v>
      </c>
      <c r="AH12" s="13">
        <v>815</v>
      </c>
      <c r="AI12" s="13">
        <v>836</v>
      </c>
      <c r="AJ12" s="13">
        <v>825</v>
      </c>
      <c r="AK12" s="13">
        <v>1133</v>
      </c>
      <c r="AL12" s="13">
        <v>1058</v>
      </c>
      <c r="AM12" s="13">
        <v>1265</v>
      </c>
      <c r="AN12" s="13">
        <v>944</v>
      </c>
      <c r="AO12" s="13">
        <v>1346</v>
      </c>
      <c r="AP12" s="13">
        <v>941</v>
      </c>
      <c r="AQ12" s="13">
        <v>1177</v>
      </c>
      <c r="AR12" s="13">
        <v>1041</v>
      </c>
      <c r="AS12" s="13">
        <v>1409</v>
      </c>
      <c r="AT12" s="13">
        <v>1513</v>
      </c>
      <c r="AU12" s="13">
        <v>1342</v>
      </c>
      <c r="AV12" s="13">
        <v>1526</v>
      </c>
      <c r="AW12" s="13">
        <v>938</v>
      </c>
      <c r="AX12" s="13">
        <v>1509</v>
      </c>
      <c r="AY12" s="13">
        <v>1610</v>
      </c>
      <c r="AZ12" s="13">
        <v>1406</v>
      </c>
      <c r="BA12" s="13">
        <v>841</v>
      </c>
      <c r="BB12" s="13">
        <v>750</v>
      </c>
      <c r="BC12" s="13">
        <v>564</v>
      </c>
    </row>
    <row r="13" spans="1:55" x14ac:dyDescent="0.2">
      <c r="A13" s="12"/>
      <c r="B13" s="15"/>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c r="BC13" s="13"/>
    </row>
    <row r="14" spans="1:55" x14ac:dyDescent="0.2">
      <c r="A14" s="9" t="s">
        <v>188</v>
      </c>
      <c r="B14" s="17"/>
      <c r="C14" s="11">
        <v>14619</v>
      </c>
      <c r="D14" s="11">
        <v>16254</v>
      </c>
      <c r="E14" s="11">
        <v>14925</v>
      </c>
      <c r="F14" s="11">
        <v>15729</v>
      </c>
      <c r="G14" s="11">
        <v>15746</v>
      </c>
      <c r="H14" s="11">
        <v>12926</v>
      </c>
      <c r="I14" s="11">
        <v>14531</v>
      </c>
      <c r="J14" s="11">
        <v>14000</v>
      </c>
      <c r="K14" s="11">
        <v>15468</v>
      </c>
      <c r="L14" s="11">
        <v>16088</v>
      </c>
      <c r="M14" s="11">
        <v>14825</v>
      </c>
      <c r="N14" s="11">
        <v>13854</v>
      </c>
      <c r="O14" s="11">
        <v>16873</v>
      </c>
      <c r="P14" s="11">
        <v>16085</v>
      </c>
      <c r="Q14" s="11">
        <v>15590</v>
      </c>
      <c r="R14" s="11">
        <v>14795</v>
      </c>
      <c r="S14" s="11">
        <v>15994</v>
      </c>
      <c r="T14" s="11">
        <v>15200</v>
      </c>
      <c r="U14" s="11">
        <v>18493</v>
      </c>
      <c r="V14" s="11">
        <v>16912</v>
      </c>
      <c r="W14" s="11">
        <v>17646</v>
      </c>
      <c r="X14" s="11">
        <v>17989</v>
      </c>
      <c r="Y14" s="11">
        <v>17372</v>
      </c>
      <c r="Z14" s="11">
        <v>15468</v>
      </c>
      <c r="AA14" s="11">
        <v>16653</v>
      </c>
      <c r="AB14" s="11">
        <v>16903</v>
      </c>
      <c r="AC14" s="11">
        <v>15836</v>
      </c>
      <c r="AD14" s="11">
        <v>16022</v>
      </c>
      <c r="AE14" s="11">
        <v>15336</v>
      </c>
      <c r="AF14" s="11">
        <v>16261</v>
      </c>
      <c r="AG14" s="11">
        <v>16520</v>
      </c>
      <c r="AH14" s="11">
        <v>15927</v>
      </c>
      <c r="AI14" s="11">
        <v>12426</v>
      </c>
      <c r="AJ14" s="11">
        <v>13623</v>
      </c>
      <c r="AK14" s="11">
        <v>15865</v>
      </c>
      <c r="AL14" s="11">
        <v>15664</v>
      </c>
      <c r="AM14" s="11">
        <v>16273</v>
      </c>
      <c r="AN14" s="11">
        <v>14485</v>
      </c>
      <c r="AO14" s="11">
        <v>16441</v>
      </c>
      <c r="AP14" s="11">
        <v>14946</v>
      </c>
      <c r="AQ14" s="11">
        <v>16400</v>
      </c>
      <c r="AR14" s="11">
        <v>16712</v>
      </c>
      <c r="AS14" s="11">
        <v>15232</v>
      </c>
      <c r="AT14" s="11">
        <v>14093</v>
      </c>
      <c r="AU14" s="11">
        <v>14609</v>
      </c>
      <c r="AV14" s="11">
        <v>14578</v>
      </c>
      <c r="AW14" s="11">
        <v>15195</v>
      </c>
      <c r="AX14" s="11">
        <v>14799</v>
      </c>
      <c r="AY14" s="11">
        <v>13698</v>
      </c>
      <c r="AZ14" s="11">
        <v>14678</v>
      </c>
      <c r="BA14" s="11">
        <v>15746</v>
      </c>
      <c r="BB14" s="11">
        <v>13860</v>
      </c>
      <c r="BC14" s="11">
        <v>13980</v>
      </c>
    </row>
    <row r="15" spans="1:55" x14ac:dyDescent="0.2">
      <c r="A15" s="12"/>
      <c r="B15" s="15" t="s">
        <v>189</v>
      </c>
      <c r="C15" s="13">
        <v>2361</v>
      </c>
      <c r="D15" s="13">
        <v>2215</v>
      </c>
      <c r="E15" s="13">
        <v>2078</v>
      </c>
      <c r="F15" s="13">
        <v>1798</v>
      </c>
      <c r="G15" s="13">
        <v>2493</v>
      </c>
      <c r="H15" s="13">
        <v>1547</v>
      </c>
      <c r="I15" s="13">
        <v>2281</v>
      </c>
      <c r="J15" s="13">
        <v>2167</v>
      </c>
      <c r="K15" s="13">
        <v>2249</v>
      </c>
      <c r="L15" s="13">
        <v>2551</v>
      </c>
      <c r="M15" s="13">
        <v>2491</v>
      </c>
      <c r="N15" s="13">
        <v>1839</v>
      </c>
      <c r="O15" s="13">
        <v>2460</v>
      </c>
      <c r="P15" s="13">
        <v>2314</v>
      </c>
      <c r="Q15" s="13">
        <v>2440</v>
      </c>
      <c r="R15" s="13">
        <v>2882</v>
      </c>
      <c r="S15" s="13">
        <v>2663</v>
      </c>
      <c r="T15" s="13">
        <v>3231</v>
      </c>
      <c r="U15" s="13">
        <v>3120</v>
      </c>
      <c r="V15" s="13">
        <v>3484</v>
      </c>
      <c r="W15" s="13">
        <v>3434</v>
      </c>
      <c r="X15" s="13">
        <v>3375</v>
      </c>
      <c r="Y15" s="13">
        <v>3523</v>
      </c>
      <c r="Z15" s="13">
        <v>2807</v>
      </c>
      <c r="AA15" s="13">
        <v>3376</v>
      </c>
      <c r="AB15" s="13">
        <v>3092</v>
      </c>
      <c r="AC15" s="13">
        <v>2524</v>
      </c>
      <c r="AD15" s="13">
        <v>3106</v>
      </c>
      <c r="AE15" s="13">
        <v>2473</v>
      </c>
      <c r="AF15" s="13">
        <v>3390</v>
      </c>
      <c r="AG15" s="13">
        <v>3240</v>
      </c>
      <c r="AH15" s="13">
        <v>2860</v>
      </c>
      <c r="AI15" s="13">
        <v>2922</v>
      </c>
      <c r="AJ15" s="13">
        <v>2852</v>
      </c>
      <c r="AK15" s="13">
        <v>2694</v>
      </c>
      <c r="AL15" s="13">
        <v>2469</v>
      </c>
      <c r="AM15" s="13">
        <v>3000</v>
      </c>
      <c r="AN15" s="13">
        <v>2656</v>
      </c>
      <c r="AO15" s="13">
        <v>2445</v>
      </c>
      <c r="AP15" s="13">
        <v>2693</v>
      </c>
      <c r="AQ15" s="13">
        <v>3191</v>
      </c>
      <c r="AR15" s="13">
        <v>2863</v>
      </c>
      <c r="AS15" s="13">
        <v>2548</v>
      </c>
      <c r="AT15" s="13">
        <v>2508</v>
      </c>
      <c r="AU15" s="13">
        <v>2155</v>
      </c>
      <c r="AV15" s="13">
        <v>2261</v>
      </c>
      <c r="AW15" s="13">
        <v>2290</v>
      </c>
      <c r="AX15" s="13">
        <v>1675</v>
      </c>
      <c r="AY15" s="13">
        <v>1792</v>
      </c>
      <c r="AZ15" s="13">
        <v>2108</v>
      </c>
      <c r="BA15" s="13">
        <v>2082</v>
      </c>
      <c r="BB15" s="13">
        <v>1664</v>
      </c>
      <c r="BC15" s="13">
        <v>1966</v>
      </c>
    </row>
    <row r="16" spans="1:55" x14ac:dyDescent="0.2">
      <c r="A16" s="12"/>
      <c r="B16" s="15" t="s">
        <v>190</v>
      </c>
      <c r="C16" s="13">
        <v>1433</v>
      </c>
      <c r="D16" s="13">
        <v>1715</v>
      </c>
      <c r="E16" s="13">
        <v>1685</v>
      </c>
      <c r="F16" s="13">
        <v>1327</v>
      </c>
      <c r="G16" s="13">
        <v>1630</v>
      </c>
      <c r="H16" s="13">
        <v>1518</v>
      </c>
      <c r="I16" s="13">
        <v>1409</v>
      </c>
      <c r="J16" s="13">
        <v>1295</v>
      </c>
      <c r="K16" s="13">
        <v>1698</v>
      </c>
      <c r="L16" s="13">
        <v>1410</v>
      </c>
      <c r="M16" s="13">
        <v>1553</v>
      </c>
      <c r="N16" s="13">
        <v>1565</v>
      </c>
      <c r="O16" s="13">
        <v>1634</v>
      </c>
      <c r="P16" s="13">
        <v>1597</v>
      </c>
      <c r="Q16" s="13">
        <v>1410</v>
      </c>
      <c r="R16" s="13">
        <v>1549</v>
      </c>
      <c r="S16" s="13">
        <v>1432</v>
      </c>
      <c r="T16" s="13">
        <v>1566</v>
      </c>
      <c r="U16" s="13">
        <v>1504</v>
      </c>
      <c r="V16" s="13">
        <v>1168</v>
      </c>
      <c r="W16" s="13">
        <v>1519</v>
      </c>
      <c r="X16" s="13">
        <v>1573</v>
      </c>
      <c r="Y16" s="13">
        <v>1405</v>
      </c>
      <c r="Z16" s="13">
        <v>1226</v>
      </c>
      <c r="AA16" s="13">
        <v>1283</v>
      </c>
      <c r="AB16" s="13">
        <v>1282</v>
      </c>
      <c r="AC16" s="13">
        <v>1218</v>
      </c>
      <c r="AD16" s="13">
        <v>1003</v>
      </c>
      <c r="AE16" s="13">
        <v>1251</v>
      </c>
      <c r="AF16" s="13">
        <v>1196</v>
      </c>
      <c r="AG16" s="13">
        <v>1406</v>
      </c>
      <c r="AH16" s="13">
        <v>1206</v>
      </c>
      <c r="AI16" s="13">
        <v>1016</v>
      </c>
      <c r="AJ16" s="13">
        <v>1300</v>
      </c>
      <c r="AK16" s="13">
        <v>1419</v>
      </c>
      <c r="AL16" s="13">
        <v>1238</v>
      </c>
      <c r="AM16" s="13">
        <v>1395</v>
      </c>
      <c r="AN16" s="13">
        <v>1238</v>
      </c>
      <c r="AO16" s="13">
        <v>1278</v>
      </c>
      <c r="AP16" s="13">
        <v>1489</v>
      </c>
      <c r="AQ16" s="13">
        <v>1281</v>
      </c>
      <c r="AR16" s="13">
        <v>1334</v>
      </c>
      <c r="AS16" s="13">
        <v>1363</v>
      </c>
      <c r="AT16" s="13">
        <v>1298</v>
      </c>
      <c r="AU16" s="13">
        <v>1368</v>
      </c>
      <c r="AV16" s="13">
        <v>1282</v>
      </c>
      <c r="AW16" s="13">
        <v>1192</v>
      </c>
      <c r="AX16" s="13">
        <v>1370</v>
      </c>
      <c r="AY16" s="13">
        <v>1162</v>
      </c>
      <c r="AZ16" s="13">
        <v>1249</v>
      </c>
      <c r="BA16" s="13">
        <v>1270</v>
      </c>
      <c r="BB16" s="13">
        <v>1152</v>
      </c>
      <c r="BC16" s="13">
        <v>1168</v>
      </c>
    </row>
    <row r="17" spans="1:55" x14ac:dyDescent="0.2">
      <c r="A17" s="12"/>
      <c r="B17" s="15" t="s">
        <v>191</v>
      </c>
      <c r="C17" s="13">
        <v>9684</v>
      </c>
      <c r="D17" s="13">
        <v>10436</v>
      </c>
      <c r="E17" s="13">
        <v>9164</v>
      </c>
      <c r="F17" s="13">
        <v>10834</v>
      </c>
      <c r="G17" s="13">
        <v>9638</v>
      </c>
      <c r="H17" s="13">
        <v>7882</v>
      </c>
      <c r="I17" s="13">
        <v>8987</v>
      </c>
      <c r="J17" s="13">
        <v>8996</v>
      </c>
      <c r="K17" s="13">
        <v>9581</v>
      </c>
      <c r="L17" s="13">
        <v>10288</v>
      </c>
      <c r="M17" s="13">
        <v>8686</v>
      </c>
      <c r="N17" s="13">
        <v>8400</v>
      </c>
      <c r="O17" s="13">
        <v>10702</v>
      </c>
      <c r="P17" s="13">
        <v>10266</v>
      </c>
      <c r="Q17" s="13">
        <v>9847</v>
      </c>
      <c r="R17" s="13">
        <v>8345</v>
      </c>
      <c r="S17" s="13">
        <v>10002</v>
      </c>
      <c r="T17" s="13">
        <v>8288</v>
      </c>
      <c r="U17" s="13">
        <v>11716</v>
      </c>
      <c r="V17" s="13">
        <v>10246</v>
      </c>
      <c r="W17" s="13">
        <v>10775</v>
      </c>
      <c r="X17" s="13">
        <v>10945</v>
      </c>
      <c r="Y17" s="13">
        <v>10683</v>
      </c>
      <c r="Z17" s="13">
        <v>9269</v>
      </c>
      <c r="AA17" s="13">
        <v>9849</v>
      </c>
      <c r="AB17" s="13">
        <v>10449</v>
      </c>
      <c r="AC17" s="13">
        <v>10140</v>
      </c>
      <c r="AD17" s="13">
        <v>9921</v>
      </c>
      <c r="AE17" s="13">
        <v>9716</v>
      </c>
      <c r="AF17" s="13">
        <v>9629</v>
      </c>
      <c r="AG17" s="13">
        <v>9765</v>
      </c>
      <c r="AH17" s="13">
        <v>9984</v>
      </c>
      <c r="AI17" s="13">
        <v>6498</v>
      </c>
      <c r="AJ17" s="13">
        <v>7330</v>
      </c>
      <c r="AK17" s="13">
        <v>9614</v>
      </c>
      <c r="AL17" s="13">
        <v>10145</v>
      </c>
      <c r="AM17" s="13">
        <v>9886</v>
      </c>
      <c r="AN17" s="13">
        <v>8690</v>
      </c>
      <c r="AO17" s="13">
        <v>10712</v>
      </c>
      <c r="AP17" s="13">
        <v>8792</v>
      </c>
      <c r="AQ17" s="13">
        <v>9783</v>
      </c>
      <c r="AR17" s="13">
        <v>10650</v>
      </c>
      <c r="AS17" s="13">
        <v>9137</v>
      </c>
      <c r="AT17" s="13">
        <v>7947</v>
      </c>
      <c r="AU17" s="13">
        <v>9073</v>
      </c>
      <c r="AV17" s="13">
        <v>9035</v>
      </c>
      <c r="AW17" s="13">
        <v>9575</v>
      </c>
      <c r="AX17" s="13">
        <v>9955</v>
      </c>
      <c r="AY17" s="13">
        <v>9044</v>
      </c>
      <c r="AZ17" s="13">
        <v>9538</v>
      </c>
      <c r="BA17" s="13">
        <v>10353</v>
      </c>
      <c r="BB17" s="13">
        <v>9688</v>
      </c>
      <c r="BC17" s="13">
        <v>9627</v>
      </c>
    </row>
    <row r="18" spans="1:55" x14ac:dyDescent="0.2">
      <c r="A18" s="12"/>
      <c r="B18" s="15" t="s">
        <v>192</v>
      </c>
      <c r="C18" s="13">
        <v>642</v>
      </c>
      <c r="D18" s="13">
        <v>990</v>
      </c>
      <c r="E18" s="13">
        <v>898</v>
      </c>
      <c r="F18" s="13">
        <v>805</v>
      </c>
      <c r="G18" s="13">
        <v>970</v>
      </c>
      <c r="H18" s="13">
        <v>874</v>
      </c>
      <c r="I18" s="13">
        <v>797</v>
      </c>
      <c r="J18" s="13">
        <v>824</v>
      </c>
      <c r="K18" s="13">
        <v>848</v>
      </c>
      <c r="L18" s="13">
        <v>910</v>
      </c>
      <c r="M18" s="13">
        <v>1054</v>
      </c>
      <c r="N18" s="13">
        <v>1000</v>
      </c>
      <c r="O18" s="13">
        <v>939</v>
      </c>
      <c r="P18" s="13">
        <v>906</v>
      </c>
      <c r="Q18" s="13">
        <v>1029</v>
      </c>
      <c r="R18" s="13">
        <v>1042</v>
      </c>
      <c r="S18" s="13">
        <v>910</v>
      </c>
      <c r="T18" s="13">
        <v>1014</v>
      </c>
      <c r="U18" s="13">
        <v>1059</v>
      </c>
      <c r="V18" s="13">
        <v>998</v>
      </c>
      <c r="W18" s="13">
        <v>1022</v>
      </c>
      <c r="X18" s="13">
        <v>997</v>
      </c>
      <c r="Y18" s="13">
        <v>920</v>
      </c>
      <c r="Z18" s="13">
        <v>1131</v>
      </c>
      <c r="AA18" s="13">
        <v>1091</v>
      </c>
      <c r="AB18" s="13">
        <v>1031</v>
      </c>
      <c r="AC18" s="13">
        <v>1020</v>
      </c>
      <c r="AD18" s="13">
        <v>977</v>
      </c>
      <c r="AE18" s="13">
        <v>894</v>
      </c>
      <c r="AF18" s="13">
        <v>1024</v>
      </c>
      <c r="AG18" s="13">
        <v>1021</v>
      </c>
      <c r="AH18" s="13">
        <v>920</v>
      </c>
      <c r="AI18" s="13">
        <v>866</v>
      </c>
      <c r="AJ18" s="13">
        <v>1026</v>
      </c>
      <c r="AK18" s="13">
        <v>981</v>
      </c>
      <c r="AL18" s="13">
        <v>921</v>
      </c>
      <c r="AM18" s="13">
        <v>948</v>
      </c>
      <c r="AN18" s="13">
        <v>998</v>
      </c>
      <c r="AO18" s="13">
        <v>1087</v>
      </c>
      <c r="AP18" s="13">
        <v>1062</v>
      </c>
      <c r="AQ18" s="13">
        <v>1107</v>
      </c>
      <c r="AR18" s="13">
        <v>991</v>
      </c>
      <c r="AS18" s="13">
        <v>1071</v>
      </c>
      <c r="AT18" s="13">
        <v>1226</v>
      </c>
      <c r="AU18" s="13">
        <v>978</v>
      </c>
      <c r="AV18" s="13">
        <v>974</v>
      </c>
      <c r="AW18" s="13">
        <v>927</v>
      </c>
      <c r="AX18" s="13">
        <v>803</v>
      </c>
      <c r="AY18" s="13">
        <v>813</v>
      </c>
      <c r="AZ18" s="13">
        <v>774</v>
      </c>
      <c r="BA18" s="13">
        <v>800</v>
      </c>
      <c r="BB18" s="13">
        <v>689</v>
      </c>
      <c r="BC18" s="13">
        <v>591</v>
      </c>
    </row>
    <row r="19" spans="1:55" x14ac:dyDescent="0.2">
      <c r="A19" s="12"/>
      <c r="B19" s="15" t="s">
        <v>193</v>
      </c>
      <c r="C19" s="13">
        <v>352</v>
      </c>
      <c r="D19" s="13">
        <v>629</v>
      </c>
      <c r="E19" s="13">
        <v>748</v>
      </c>
      <c r="F19" s="13">
        <v>589</v>
      </c>
      <c r="G19" s="13">
        <v>658</v>
      </c>
      <c r="H19" s="13">
        <v>711</v>
      </c>
      <c r="I19" s="13">
        <v>640</v>
      </c>
      <c r="J19" s="13">
        <v>415</v>
      </c>
      <c r="K19" s="13">
        <v>793</v>
      </c>
      <c r="L19" s="13">
        <v>580</v>
      </c>
      <c r="M19" s="13">
        <v>754</v>
      </c>
      <c r="N19" s="13">
        <v>743</v>
      </c>
      <c r="O19" s="13">
        <v>805</v>
      </c>
      <c r="P19" s="13">
        <v>629</v>
      </c>
      <c r="Q19" s="13">
        <v>530</v>
      </c>
      <c r="R19" s="13">
        <v>630</v>
      </c>
      <c r="S19" s="13">
        <v>668</v>
      </c>
      <c r="T19" s="13">
        <v>724</v>
      </c>
      <c r="U19" s="13">
        <v>733</v>
      </c>
      <c r="V19" s="13">
        <v>657</v>
      </c>
      <c r="W19" s="13">
        <v>602</v>
      </c>
      <c r="X19" s="13">
        <v>720</v>
      </c>
      <c r="Y19" s="13">
        <v>483</v>
      </c>
      <c r="Z19" s="13">
        <v>660</v>
      </c>
      <c r="AA19" s="13">
        <v>751</v>
      </c>
      <c r="AB19" s="13">
        <v>740</v>
      </c>
      <c r="AC19" s="13">
        <v>602</v>
      </c>
      <c r="AD19" s="13">
        <v>647</v>
      </c>
      <c r="AE19" s="13">
        <v>627</v>
      </c>
      <c r="AF19" s="13">
        <v>684</v>
      </c>
      <c r="AG19" s="13">
        <v>720</v>
      </c>
      <c r="AH19" s="13">
        <v>599</v>
      </c>
      <c r="AI19" s="13">
        <v>752</v>
      </c>
      <c r="AJ19" s="13">
        <v>711</v>
      </c>
      <c r="AK19" s="13">
        <v>789</v>
      </c>
      <c r="AL19" s="13">
        <v>565</v>
      </c>
      <c r="AM19" s="13">
        <v>734</v>
      </c>
      <c r="AN19" s="13">
        <v>624</v>
      </c>
      <c r="AO19" s="13">
        <v>674</v>
      </c>
      <c r="AP19" s="13">
        <v>670</v>
      </c>
      <c r="AQ19" s="13">
        <v>713</v>
      </c>
      <c r="AR19" s="13">
        <v>599</v>
      </c>
      <c r="AS19" s="13">
        <v>784</v>
      </c>
      <c r="AT19" s="13">
        <v>745</v>
      </c>
      <c r="AU19" s="13">
        <v>652</v>
      </c>
      <c r="AV19" s="13">
        <v>701</v>
      </c>
      <c r="AW19" s="13">
        <v>873</v>
      </c>
      <c r="AX19" s="13">
        <v>611</v>
      </c>
      <c r="AY19" s="13">
        <v>604</v>
      </c>
      <c r="AZ19" s="13">
        <v>699</v>
      </c>
      <c r="BA19" s="13">
        <v>885</v>
      </c>
      <c r="BB19" s="13">
        <v>432</v>
      </c>
      <c r="BC19" s="13">
        <v>411</v>
      </c>
    </row>
    <row r="20" spans="1:55" x14ac:dyDescent="0.2">
      <c r="A20" s="12"/>
      <c r="B20" s="15" t="s">
        <v>194</v>
      </c>
      <c r="C20" s="13">
        <v>147</v>
      </c>
      <c r="D20" s="13">
        <v>269</v>
      </c>
      <c r="E20" s="13">
        <v>352</v>
      </c>
      <c r="F20" s="13">
        <v>376</v>
      </c>
      <c r="G20" s="13">
        <v>357</v>
      </c>
      <c r="H20" s="13">
        <v>394</v>
      </c>
      <c r="I20" s="13">
        <v>417</v>
      </c>
      <c r="J20" s="13">
        <v>303</v>
      </c>
      <c r="K20" s="13">
        <v>299</v>
      </c>
      <c r="L20" s="13">
        <v>349</v>
      </c>
      <c r="M20" s="13">
        <v>287</v>
      </c>
      <c r="N20" s="13">
        <v>307</v>
      </c>
      <c r="O20" s="13">
        <v>333</v>
      </c>
      <c r="P20" s="13">
        <v>373</v>
      </c>
      <c r="Q20" s="13">
        <v>334</v>
      </c>
      <c r="R20" s="13">
        <v>347</v>
      </c>
      <c r="S20" s="13">
        <v>319</v>
      </c>
      <c r="T20" s="13">
        <v>377</v>
      </c>
      <c r="U20" s="13">
        <v>361</v>
      </c>
      <c r="V20" s="13">
        <v>359</v>
      </c>
      <c r="W20" s="13">
        <v>294</v>
      </c>
      <c r="X20" s="13">
        <v>379</v>
      </c>
      <c r="Y20" s="13">
        <v>358</v>
      </c>
      <c r="Z20" s="13">
        <v>375</v>
      </c>
      <c r="AA20" s="13">
        <v>303</v>
      </c>
      <c r="AB20" s="13">
        <v>309</v>
      </c>
      <c r="AC20" s="13">
        <v>332</v>
      </c>
      <c r="AD20" s="13">
        <v>368</v>
      </c>
      <c r="AE20" s="13">
        <v>375</v>
      </c>
      <c r="AF20" s="13">
        <v>338</v>
      </c>
      <c r="AG20" s="13">
        <v>368</v>
      </c>
      <c r="AH20" s="13">
        <v>358</v>
      </c>
      <c r="AI20" s="13">
        <v>372</v>
      </c>
      <c r="AJ20" s="13">
        <v>404</v>
      </c>
      <c r="AK20" s="13">
        <v>368</v>
      </c>
      <c r="AL20" s="13">
        <v>326</v>
      </c>
      <c r="AM20" s="13">
        <v>310</v>
      </c>
      <c r="AN20" s="13">
        <v>279</v>
      </c>
      <c r="AO20" s="13">
        <v>245</v>
      </c>
      <c r="AP20" s="13">
        <v>240</v>
      </c>
      <c r="AQ20" s="13">
        <v>325</v>
      </c>
      <c r="AR20" s="13">
        <v>275</v>
      </c>
      <c r="AS20" s="13">
        <v>329</v>
      </c>
      <c r="AT20" s="13">
        <v>369</v>
      </c>
      <c r="AU20" s="13">
        <v>383</v>
      </c>
      <c r="AV20" s="13">
        <v>325</v>
      </c>
      <c r="AW20" s="13">
        <v>338</v>
      </c>
      <c r="AX20" s="13">
        <v>385</v>
      </c>
      <c r="AY20" s="13">
        <v>283</v>
      </c>
      <c r="AZ20" s="13">
        <v>310</v>
      </c>
      <c r="BA20" s="13">
        <v>356</v>
      </c>
      <c r="BB20" s="13">
        <v>235</v>
      </c>
      <c r="BC20" s="13">
        <v>217</v>
      </c>
    </row>
    <row r="22" spans="1:55" x14ac:dyDescent="0.2">
      <c r="A22" s="9" t="s">
        <v>195</v>
      </c>
      <c r="C22" s="5">
        <v>1472</v>
      </c>
      <c r="D22" s="5">
        <v>1847</v>
      </c>
      <c r="E22" s="5">
        <v>1828</v>
      </c>
      <c r="F22" s="5">
        <v>1661</v>
      </c>
      <c r="G22" s="5">
        <v>1823</v>
      </c>
      <c r="H22" s="5">
        <v>1724</v>
      </c>
      <c r="I22" s="5">
        <v>1685</v>
      </c>
      <c r="J22" s="5">
        <v>1638</v>
      </c>
      <c r="K22" s="5">
        <v>1749</v>
      </c>
      <c r="L22" s="5">
        <v>1577</v>
      </c>
      <c r="M22" s="5">
        <v>1822</v>
      </c>
      <c r="N22" s="5">
        <v>1755</v>
      </c>
      <c r="O22" s="5">
        <v>1686</v>
      </c>
      <c r="P22" s="5">
        <v>2020</v>
      </c>
      <c r="Q22" s="5">
        <v>1918</v>
      </c>
      <c r="R22" s="5">
        <v>1889</v>
      </c>
      <c r="S22" s="5">
        <v>1850</v>
      </c>
      <c r="T22" s="5">
        <v>1847</v>
      </c>
      <c r="U22" s="5">
        <v>1454</v>
      </c>
      <c r="V22" s="5">
        <v>1505</v>
      </c>
      <c r="W22" s="5">
        <v>1631</v>
      </c>
      <c r="X22" s="5">
        <v>1476</v>
      </c>
      <c r="Y22" s="5">
        <v>1843</v>
      </c>
      <c r="Z22" s="5">
        <v>2156</v>
      </c>
      <c r="AA22" s="5">
        <v>2024</v>
      </c>
      <c r="AB22" s="5">
        <v>1932</v>
      </c>
      <c r="AC22" s="5">
        <v>1870</v>
      </c>
      <c r="AD22" s="5">
        <v>1494</v>
      </c>
      <c r="AE22" s="5">
        <v>1292</v>
      </c>
      <c r="AF22" s="5">
        <v>1429</v>
      </c>
      <c r="AG22" s="5">
        <v>1166</v>
      </c>
      <c r="AH22" s="5">
        <v>1309</v>
      </c>
      <c r="AI22" s="5">
        <v>1407</v>
      </c>
      <c r="AJ22" s="5">
        <v>1029</v>
      </c>
      <c r="AK22" s="5">
        <v>1792</v>
      </c>
      <c r="AL22" s="5">
        <v>1676</v>
      </c>
      <c r="AM22" s="5">
        <v>1397</v>
      </c>
      <c r="AN22" s="5">
        <v>1297</v>
      </c>
      <c r="AO22" s="5">
        <v>1283</v>
      </c>
      <c r="AP22" s="5">
        <v>1186</v>
      </c>
      <c r="AQ22" s="5">
        <v>1181</v>
      </c>
      <c r="AR22" s="5">
        <v>1168</v>
      </c>
      <c r="AS22" s="5">
        <v>1459</v>
      </c>
      <c r="AT22" s="5">
        <v>1430</v>
      </c>
      <c r="AU22" s="5">
        <v>1448</v>
      </c>
      <c r="AV22" s="5">
        <v>1122</v>
      </c>
      <c r="AW22" s="5">
        <v>1664</v>
      </c>
      <c r="AX22" s="5">
        <v>1380</v>
      </c>
      <c r="AY22" s="5">
        <v>1579</v>
      </c>
      <c r="AZ22" s="5">
        <v>1675</v>
      </c>
      <c r="BA22" s="5">
        <v>1268</v>
      </c>
      <c r="BB22" s="5">
        <v>1120</v>
      </c>
      <c r="BC22" s="5">
        <v>1049</v>
      </c>
    </row>
    <row r="23" spans="1:55" x14ac:dyDescent="0.2">
      <c r="A23" s="12"/>
      <c r="B23" s="15"/>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row>
    <row r="24" spans="1:55" x14ac:dyDescent="0.2">
      <c r="A24" s="9" t="s">
        <v>196</v>
      </c>
      <c r="C24" s="5">
        <v>2556</v>
      </c>
      <c r="D24" s="5">
        <v>2602</v>
      </c>
      <c r="E24" s="5">
        <v>3308</v>
      </c>
      <c r="F24" s="5">
        <v>3695</v>
      </c>
      <c r="G24" s="5">
        <v>3791</v>
      </c>
      <c r="H24" s="5">
        <v>3935</v>
      </c>
      <c r="I24" s="5">
        <v>3613</v>
      </c>
      <c r="J24" s="5">
        <v>4077</v>
      </c>
      <c r="K24" s="5">
        <v>4175</v>
      </c>
      <c r="L24" s="5">
        <v>4189</v>
      </c>
      <c r="M24" s="5">
        <v>4661</v>
      </c>
      <c r="N24" s="5">
        <v>4787</v>
      </c>
      <c r="O24" s="5">
        <v>5465</v>
      </c>
      <c r="P24" s="5">
        <v>4334</v>
      </c>
      <c r="Q24" s="5">
        <v>4105</v>
      </c>
      <c r="R24" s="5">
        <v>4686</v>
      </c>
      <c r="S24" s="5">
        <v>3746</v>
      </c>
      <c r="T24" s="5">
        <v>4168</v>
      </c>
      <c r="U24" s="5">
        <v>4153</v>
      </c>
      <c r="V24" s="5">
        <v>4610</v>
      </c>
      <c r="W24" s="5">
        <v>4129</v>
      </c>
      <c r="X24" s="5">
        <v>3971</v>
      </c>
      <c r="Y24" s="5">
        <v>4700</v>
      </c>
      <c r="Z24" s="5">
        <v>4643</v>
      </c>
      <c r="AA24" s="5">
        <v>5049</v>
      </c>
      <c r="AB24" s="5">
        <v>4423</v>
      </c>
      <c r="AC24" s="5">
        <v>3464</v>
      </c>
      <c r="AD24" s="5">
        <v>3412</v>
      </c>
      <c r="AE24" s="5">
        <v>3796</v>
      </c>
      <c r="AF24" s="5">
        <v>3684</v>
      </c>
      <c r="AG24" s="5">
        <v>3694</v>
      </c>
      <c r="AH24" s="5">
        <v>3877</v>
      </c>
      <c r="AI24" s="5">
        <v>4000</v>
      </c>
      <c r="AJ24" s="5">
        <v>3758</v>
      </c>
      <c r="AK24" s="5">
        <v>3847</v>
      </c>
      <c r="AL24" s="5">
        <v>3732</v>
      </c>
      <c r="AM24" s="5">
        <v>4387</v>
      </c>
      <c r="AN24" s="5">
        <v>4536</v>
      </c>
      <c r="AO24" s="5">
        <v>4785</v>
      </c>
      <c r="AP24" s="5">
        <v>4201</v>
      </c>
      <c r="AQ24" s="5">
        <v>4400</v>
      </c>
      <c r="AR24" s="5">
        <v>4339</v>
      </c>
      <c r="AS24" s="5">
        <v>3811</v>
      </c>
      <c r="AT24" s="5">
        <v>3378</v>
      </c>
      <c r="AU24" s="5">
        <v>3035</v>
      </c>
      <c r="AV24" s="5">
        <v>3337</v>
      </c>
      <c r="AW24" s="5">
        <v>4018</v>
      </c>
      <c r="AX24" s="5">
        <v>3789</v>
      </c>
      <c r="AY24" s="5">
        <v>3830</v>
      </c>
      <c r="AZ24" s="5">
        <v>4222</v>
      </c>
      <c r="BA24" s="5">
        <v>3781</v>
      </c>
      <c r="BB24" s="5">
        <v>2734</v>
      </c>
      <c r="BC24" s="5">
        <v>2058</v>
      </c>
    </row>
    <row r="25" spans="1:55" x14ac:dyDescent="0.2">
      <c r="A25" s="12"/>
      <c r="B25" s="15"/>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row>
    <row r="26" spans="1:55" x14ac:dyDescent="0.2">
      <c r="A26" s="18" t="s">
        <v>197</v>
      </c>
      <c r="B26" s="19"/>
      <c r="C26" s="20">
        <v>38694</v>
      </c>
      <c r="D26" s="20">
        <v>43127</v>
      </c>
      <c r="E26" s="20">
        <v>41968</v>
      </c>
      <c r="F26" s="20">
        <v>42878</v>
      </c>
      <c r="G26" s="20">
        <v>42682</v>
      </c>
      <c r="H26" s="20">
        <v>39569</v>
      </c>
      <c r="I26" s="20">
        <v>42087</v>
      </c>
      <c r="J26" s="20">
        <v>39533</v>
      </c>
      <c r="K26" s="20">
        <v>44689</v>
      </c>
      <c r="L26" s="20">
        <v>43311</v>
      </c>
      <c r="M26" s="20">
        <v>44587</v>
      </c>
      <c r="N26" s="20">
        <v>43808</v>
      </c>
      <c r="O26" s="20">
        <v>46515</v>
      </c>
      <c r="P26" s="20">
        <v>43522</v>
      </c>
      <c r="Q26" s="20">
        <v>43339</v>
      </c>
      <c r="R26" s="20">
        <v>42855</v>
      </c>
      <c r="S26" s="20">
        <v>43349</v>
      </c>
      <c r="T26" s="20">
        <v>42323</v>
      </c>
      <c r="U26" s="20">
        <v>45329</v>
      </c>
      <c r="V26" s="20">
        <v>44336</v>
      </c>
      <c r="W26" s="20">
        <v>44229</v>
      </c>
      <c r="X26" s="20">
        <v>43597</v>
      </c>
      <c r="Y26" s="20">
        <v>44901</v>
      </c>
      <c r="Z26" s="20">
        <v>43048</v>
      </c>
      <c r="AA26" s="20">
        <v>44120</v>
      </c>
      <c r="AB26" s="20">
        <v>43322</v>
      </c>
      <c r="AC26" s="20">
        <v>41000</v>
      </c>
      <c r="AD26" s="20">
        <v>41371</v>
      </c>
      <c r="AE26" s="20">
        <v>41363</v>
      </c>
      <c r="AF26" s="20">
        <v>42488</v>
      </c>
      <c r="AG26" s="20">
        <v>42412</v>
      </c>
      <c r="AH26" s="20">
        <v>41124</v>
      </c>
      <c r="AI26" s="20">
        <v>38963</v>
      </c>
      <c r="AJ26" s="20">
        <v>39634</v>
      </c>
      <c r="AK26" s="20">
        <v>43359</v>
      </c>
      <c r="AL26" s="20">
        <v>42480</v>
      </c>
      <c r="AM26" s="20">
        <v>43267</v>
      </c>
      <c r="AN26" s="20">
        <v>40844</v>
      </c>
      <c r="AO26" s="20">
        <v>44358</v>
      </c>
      <c r="AP26" s="20">
        <v>41390</v>
      </c>
      <c r="AQ26" s="20">
        <v>43067</v>
      </c>
      <c r="AR26" s="20">
        <v>42704</v>
      </c>
      <c r="AS26" s="20">
        <v>41288</v>
      </c>
      <c r="AT26" s="20">
        <v>40153</v>
      </c>
      <c r="AU26" s="20">
        <v>42771</v>
      </c>
      <c r="AV26" s="20">
        <v>41125</v>
      </c>
      <c r="AW26" s="20">
        <v>43110</v>
      </c>
      <c r="AX26" s="20">
        <v>41526</v>
      </c>
      <c r="AY26" s="20">
        <v>41426</v>
      </c>
      <c r="AZ26" s="20">
        <v>41207</v>
      </c>
      <c r="BA26" s="20">
        <v>42018</v>
      </c>
      <c r="BB26" s="20">
        <v>35373</v>
      </c>
      <c r="BC26" s="20">
        <v>36078</v>
      </c>
    </row>
    <row r="27" spans="1:55" x14ac:dyDescent="0.2">
      <c r="A27" s="12"/>
      <c r="B27" s="15"/>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c r="BC27" s="13"/>
    </row>
    <row r="28" spans="1:55" x14ac:dyDescent="0.2">
      <c r="A28" s="9" t="s">
        <v>198</v>
      </c>
      <c r="B28" s="12"/>
      <c r="C28" s="11">
        <v>8420</v>
      </c>
      <c r="D28" s="11">
        <v>9421</v>
      </c>
      <c r="E28" s="11">
        <v>9057</v>
      </c>
      <c r="F28" s="11">
        <v>9208</v>
      </c>
      <c r="G28" s="11">
        <v>9843</v>
      </c>
      <c r="H28" s="11">
        <v>9272</v>
      </c>
      <c r="I28" s="11">
        <v>8692</v>
      </c>
      <c r="J28" s="11">
        <v>7959</v>
      </c>
      <c r="K28" s="11">
        <v>9309</v>
      </c>
      <c r="L28" s="11">
        <v>8725</v>
      </c>
      <c r="M28" s="11">
        <v>9502</v>
      </c>
      <c r="N28" s="11">
        <v>9506</v>
      </c>
      <c r="O28" s="11">
        <v>9984</v>
      </c>
      <c r="P28" s="11">
        <v>9114</v>
      </c>
      <c r="Q28" s="11">
        <v>9295</v>
      </c>
      <c r="R28" s="11">
        <v>9935</v>
      </c>
      <c r="S28" s="11">
        <v>10006</v>
      </c>
      <c r="T28" s="11">
        <v>9340</v>
      </c>
      <c r="U28" s="11">
        <v>8636</v>
      </c>
      <c r="V28" s="11">
        <v>8639</v>
      </c>
      <c r="W28" s="11">
        <v>7560</v>
      </c>
      <c r="X28" s="11">
        <v>8494</v>
      </c>
      <c r="Y28" s="11">
        <v>7979</v>
      </c>
      <c r="Z28" s="11">
        <v>9166</v>
      </c>
      <c r="AA28" s="11">
        <v>8261</v>
      </c>
      <c r="AB28" s="11">
        <v>8712</v>
      </c>
      <c r="AC28" s="11">
        <v>9470</v>
      </c>
      <c r="AD28" s="11">
        <v>8838</v>
      </c>
      <c r="AE28" s="11">
        <v>9966</v>
      </c>
      <c r="AF28" s="11">
        <v>8881</v>
      </c>
      <c r="AG28" s="11">
        <v>9850</v>
      </c>
      <c r="AH28" s="11">
        <v>8688</v>
      </c>
      <c r="AI28" s="11">
        <v>9293</v>
      </c>
      <c r="AJ28" s="11">
        <v>9860</v>
      </c>
      <c r="AK28" s="11">
        <v>9014</v>
      </c>
      <c r="AL28" s="11">
        <v>8623</v>
      </c>
      <c r="AM28" s="11">
        <v>9211</v>
      </c>
      <c r="AN28" s="11">
        <v>9055</v>
      </c>
      <c r="AO28" s="11">
        <v>9348</v>
      </c>
      <c r="AP28" s="11">
        <v>9871</v>
      </c>
      <c r="AQ28" s="11">
        <v>9720</v>
      </c>
      <c r="AR28" s="11">
        <v>8616</v>
      </c>
      <c r="AS28" s="11">
        <v>8823</v>
      </c>
      <c r="AT28" s="11">
        <v>8863</v>
      </c>
      <c r="AU28" s="11">
        <v>9715</v>
      </c>
      <c r="AV28" s="11">
        <v>9708</v>
      </c>
      <c r="AW28" s="11">
        <v>9875</v>
      </c>
      <c r="AX28" s="11">
        <v>9174</v>
      </c>
      <c r="AY28" s="11">
        <v>9852</v>
      </c>
      <c r="AZ28" s="11">
        <v>8651</v>
      </c>
      <c r="BA28" s="11">
        <v>9115</v>
      </c>
      <c r="BB28" s="11">
        <v>6379</v>
      </c>
      <c r="BC28" s="11">
        <v>7945</v>
      </c>
    </row>
    <row r="29" spans="1:55" x14ac:dyDescent="0.2">
      <c r="A29" s="12"/>
      <c r="B29" s="15" t="s">
        <v>198</v>
      </c>
      <c r="C29" s="13">
        <v>7382</v>
      </c>
      <c r="D29" s="13">
        <v>7914</v>
      </c>
      <c r="E29" s="13">
        <v>7798</v>
      </c>
      <c r="F29" s="13">
        <v>8132</v>
      </c>
      <c r="G29" s="13">
        <v>8479</v>
      </c>
      <c r="H29" s="13">
        <v>7909</v>
      </c>
      <c r="I29" s="13">
        <v>7294</v>
      </c>
      <c r="J29" s="13">
        <v>6821</v>
      </c>
      <c r="K29" s="13">
        <v>8077</v>
      </c>
      <c r="L29" s="13">
        <v>7502</v>
      </c>
      <c r="M29" s="13">
        <v>8053</v>
      </c>
      <c r="N29" s="13">
        <v>8270</v>
      </c>
      <c r="O29" s="13">
        <v>8629</v>
      </c>
      <c r="P29" s="13">
        <v>7950</v>
      </c>
      <c r="Q29" s="13">
        <v>7935</v>
      </c>
      <c r="R29" s="13">
        <v>8744</v>
      </c>
      <c r="S29" s="13">
        <v>8887</v>
      </c>
      <c r="T29" s="13">
        <v>7913</v>
      </c>
      <c r="U29" s="13">
        <v>7373</v>
      </c>
      <c r="V29" s="13">
        <v>7345</v>
      </c>
      <c r="W29" s="13">
        <v>6370</v>
      </c>
      <c r="X29" s="13">
        <v>6806</v>
      </c>
      <c r="Y29" s="13">
        <v>7057</v>
      </c>
      <c r="Z29" s="13">
        <v>7327</v>
      </c>
      <c r="AA29" s="13">
        <v>7139</v>
      </c>
      <c r="AB29" s="13">
        <v>7130</v>
      </c>
      <c r="AC29" s="13">
        <v>8284</v>
      </c>
      <c r="AD29" s="13">
        <v>7434</v>
      </c>
      <c r="AE29" s="13">
        <v>8653</v>
      </c>
      <c r="AF29" s="13">
        <v>7653</v>
      </c>
      <c r="AG29" s="13">
        <v>8548</v>
      </c>
      <c r="AH29" s="13">
        <v>7489</v>
      </c>
      <c r="AI29" s="13">
        <v>8051</v>
      </c>
      <c r="AJ29" s="13">
        <v>8806</v>
      </c>
      <c r="AK29" s="13">
        <v>7847</v>
      </c>
      <c r="AL29" s="13">
        <v>7548</v>
      </c>
      <c r="AM29" s="13">
        <v>8020</v>
      </c>
      <c r="AN29" s="13">
        <v>7751</v>
      </c>
      <c r="AO29" s="13">
        <v>8405</v>
      </c>
      <c r="AP29" s="13">
        <v>8733</v>
      </c>
      <c r="AQ29" s="13">
        <v>8476</v>
      </c>
      <c r="AR29" s="13">
        <v>7349</v>
      </c>
      <c r="AS29" s="13">
        <v>7638</v>
      </c>
      <c r="AT29" s="13">
        <v>8008</v>
      </c>
      <c r="AU29" s="13">
        <v>8467</v>
      </c>
      <c r="AV29" s="13">
        <v>8516</v>
      </c>
      <c r="AW29" s="13">
        <v>8870</v>
      </c>
      <c r="AX29" s="13">
        <v>8097</v>
      </c>
      <c r="AY29" s="13">
        <v>8803</v>
      </c>
      <c r="AZ29" s="13">
        <v>7471</v>
      </c>
      <c r="BA29" s="13">
        <v>7983</v>
      </c>
      <c r="BB29" s="13">
        <v>5741</v>
      </c>
      <c r="BC29" s="13">
        <v>6795</v>
      </c>
    </row>
    <row r="30" spans="1:55" x14ac:dyDescent="0.2">
      <c r="A30" s="12"/>
      <c r="B30" s="15" t="s">
        <v>199</v>
      </c>
      <c r="C30" s="13">
        <v>1038</v>
      </c>
      <c r="D30" s="13">
        <v>1507</v>
      </c>
      <c r="E30" s="13">
        <v>1259</v>
      </c>
      <c r="F30" s="13">
        <v>1076</v>
      </c>
      <c r="G30" s="13">
        <v>1364</v>
      </c>
      <c r="H30" s="13">
        <v>1363</v>
      </c>
      <c r="I30" s="13">
        <v>1398</v>
      </c>
      <c r="J30" s="13">
        <v>1138</v>
      </c>
      <c r="K30" s="13">
        <v>1232</v>
      </c>
      <c r="L30" s="13">
        <v>1223</v>
      </c>
      <c r="M30" s="13">
        <v>1449</v>
      </c>
      <c r="N30" s="13">
        <v>1236</v>
      </c>
      <c r="O30" s="13">
        <v>1355</v>
      </c>
      <c r="P30" s="13">
        <v>1164</v>
      </c>
      <c r="Q30" s="13">
        <v>1360</v>
      </c>
      <c r="R30" s="13">
        <v>1191</v>
      </c>
      <c r="S30" s="13">
        <v>1119</v>
      </c>
      <c r="T30" s="13">
        <v>1427</v>
      </c>
      <c r="U30" s="13">
        <v>1263</v>
      </c>
      <c r="V30" s="13">
        <v>1294</v>
      </c>
      <c r="W30" s="13">
        <v>1190</v>
      </c>
      <c r="X30" s="13">
        <v>1688</v>
      </c>
      <c r="Y30" s="13">
        <v>922</v>
      </c>
      <c r="Z30" s="13">
        <v>1839</v>
      </c>
      <c r="AA30" s="13">
        <v>1122</v>
      </c>
      <c r="AB30" s="13">
        <v>1582</v>
      </c>
      <c r="AC30" s="13">
        <v>1186</v>
      </c>
      <c r="AD30" s="13">
        <v>1404</v>
      </c>
      <c r="AE30" s="13">
        <v>1313</v>
      </c>
      <c r="AF30" s="13">
        <v>1228</v>
      </c>
      <c r="AG30" s="13">
        <v>1302</v>
      </c>
      <c r="AH30" s="13">
        <v>1199</v>
      </c>
      <c r="AI30" s="13">
        <v>1242</v>
      </c>
      <c r="AJ30" s="13">
        <v>1054</v>
      </c>
      <c r="AK30" s="13">
        <v>1167</v>
      </c>
      <c r="AL30" s="13">
        <v>1075</v>
      </c>
      <c r="AM30" s="13">
        <v>1191</v>
      </c>
      <c r="AN30" s="13">
        <v>1304</v>
      </c>
      <c r="AO30" s="13">
        <v>943</v>
      </c>
      <c r="AP30" s="13">
        <v>1138</v>
      </c>
      <c r="AQ30" s="13">
        <v>1244</v>
      </c>
      <c r="AR30" s="13">
        <v>1267</v>
      </c>
      <c r="AS30" s="13">
        <v>1185</v>
      </c>
      <c r="AT30" s="13">
        <v>855</v>
      </c>
      <c r="AU30" s="13">
        <v>1248</v>
      </c>
      <c r="AV30" s="13">
        <v>1192</v>
      </c>
      <c r="AW30" s="13">
        <v>1005</v>
      </c>
      <c r="AX30" s="13">
        <v>1077</v>
      </c>
      <c r="AY30" s="13">
        <v>1049</v>
      </c>
      <c r="AZ30" s="13">
        <v>1180</v>
      </c>
      <c r="BA30" s="13">
        <v>1132</v>
      </c>
      <c r="BB30" s="13">
        <v>638</v>
      </c>
      <c r="BC30" s="13">
        <v>1150</v>
      </c>
    </row>
    <row r="31" spans="1:55" x14ac:dyDescent="0.2">
      <c r="A31" s="12"/>
      <c r="B31" s="15"/>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row>
    <row r="32" spans="1:55" x14ac:dyDescent="0.2">
      <c r="A32" s="16" t="s">
        <v>200</v>
      </c>
      <c r="B32" s="12"/>
      <c r="C32" s="11">
        <v>8125</v>
      </c>
      <c r="D32" s="11">
        <v>8441</v>
      </c>
      <c r="E32" s="11">
        <v>8813</v>
      </c>
      <c r="F32" s="11">
        <v>8704</v>
      </c>
      <c r="G32" s="11">
        <v>8543</v>
      </c>
      <c r="H32" s="11">
        <v>7725</v>
      </c>
      <c r="I32" s="11">
        <v>8013</v>
      </c>
      <c r="J32" s="11">
        <v>5274</v>
      </c>
      <c r="K32" s="11">
        <v>8564</v>
      </c>
      <c r="L32" s="11">
        <v>8865</v>
      </c>
      <c r="M32" s="11">
        <v>9325</v>
      </c>
      <c r="N32" s="11">
        <v>9258</v>
      </c>
      <c r="O32" s="11">
        <v>8726</v>
      </c>
      <c r="P32" s="11">
        <v>10701</v>
      </c>
      <c r="Q32" s="11">
        <v>8298</v>
      </c>
      <c r="R32" s="11">
        <v>8709</v>
      </c>
      <c r="S32" s="11">
        <v>9650</v>
      </c>
      <c r="T32" s="11">
        <v>10224</v>
      </c>
      <c r="U32" s="11">
        <v>8711</v>
      </c>
      <c r="V32" s="11">
        <v>7608</v>
      </c>
      <c r="W32" s="11">
        <v>7092</v>
      </c>
      <c r="X32" s="11">
        <v>7310</v>
      </c>
      <c r="Y32" s="11">
        <v>7922</v>
      </c>
      <c r="Z32" s="11">
        <v>7940</v>
      </c>
      <c r="AA32" s="11">
        <v>7978</v>
      </c>
      <c r="AB32" s="11">
        <v>6469</v>
      </c>
      <c r="AC32" s="11">
        <v>6895</v>
      </c>
      <c r="AD32" s="11">
        <v>7841</v>
      </c>
      <c r="AE32" s="11">
        <v>6154</v>
      </c>
      <c r="AF32" s="11">
        <v>6642</v>
      </c>
      <c r="AG32" s="11">
        <v>6362</v>
      </c>
      <c r="AH32" s="11">
        <v>6057</v>
      </c>
      <c r="AI32" s="11">
        <v>5343</v>
      </c>
      <c r="AJ32" s="11">
        <v>4375</v>
      </c>
      <c r="AK32" s="11">
        <v>6267</v>
      </c>
      <c r="AL32" s="11">
        <v>7225</v>
      </c>
      <c r="AM32" s="11">
        <v>8371</v>
      </c>
      <c r="AN32" s="11">
        <v>9271</v>
      </c>
      <c r="AO32" s="11">
        <v>9577</v>
      </c>
      <c r="AP32" s="11">
        <v>11627</v>
      </c>
      <c r="AQ32" s="11">
        <v>11390</v>
      </c>
      <c r="AR32" s="11">
        <v>10311</v>
      </c>
      <c r="AS32" s="11">
        <v>9775</v>
      </c>
      <c r="AT32" s="11">
        <v>10825</v>
      </c>
      <c r="AU32" s="11">
        <v>10537</v>
      </c>
      <c r="AV32" s="11">
        <v>10635</v>
      </c>
      <c r="AW32" s="11">
        <v>10028</v>
      </c>
      <c r="AX32" s="11">
        <v>10346</v>
      </c>
      <c r="AY32" s="11">
        <v>10590</v>
      </c>
      <c r="AZ32" s="11">
        <v>9979</v>
      </c>
      <c r="BA32" s="11">
        <v>8635</v>
      </c>
      <c r="BB32" s="11">
        <v>6924</v>
      </c>
      <c r="BC32" s="11">
        <v>8342</v>
      </c>
    </row>
    <row r="33" spans="1:55" x14ac:dyDescent="0.2">
      <c r="A33" s="12"/>
      <c r="B33" s="15" t="s">
        <v>201</v>
      </c>
      <c r="C33" s="13">
        <v>1237</v>
      </c>
      <c r="D33" s="13">
        <v>1604</v>
      </c>
      <c r="E33" s="13">
        <v>1283</v>
      </c>
      <c r="F33" s="13">
        <v>2110</v>
      </c>
      <c r="G33" s="13">
        <v>2044</v>
      </c>
      <c r="H33" s="13">
        <v>926</v>
      </c>
      <c r="I33" s="13">
        <v>1315</v>
      </c>
      <c r="J33" s="13">
        <v>908</v>
      </c>
      <c r="K33" s="13">
        <v>1520</v>
      </c>
      <c r="L33" s="13">
        <v>1550</v>
      </c>
      <c r="M33" s="13">
        <v>1511</v>
      </c>
      <c r="N33" s="13">
        <v>1727</v>
      </c>
      <c r="O33" s="13">
        <v>1586</v>
      </c>
      <c r="P33" s="13">
        <v>1952</v>
      </c>
      <c r="Q33" s="13">
        <v>1890</v>
      </c>
      <c r="R33" s="13">
        <v>1159</v>
      </c>
      <c r="S33" s="13">
        <v>1413</v>
      </c>
      <c r="T33" s="13">
        <v>2240</v>
      </c>
      <c r="U33" s="13">
        <v>1857</v>
      </c>
      <c r="V33" s="13">
        <v>1456</v>
      </c>
      <c r="W33" s="13">
        <v>718</v>
      </c>
      <c r="X33" s="13">
        <v>1235</v>
      </c>
      <c r="Y33" s="13">
        <v>1066</v>
      </c>
      <c r="Z33" s="13">
        <v>1452</v>
      </c>
      <c r="AA33" s="13">
        <v>1235</v>
      </c>
      <c r="AB33" s="13">
        <v>1044</v>
      </c>
      <c r="AC33" s="13">
        <v>1174</v>
      </c>
      <c r="AD33" s="13">
        <v>1206</v>
      </c>
      <c r="AE33" s="13">
        <v>720</v>
      </c>
      <c r="AF33" s="13">
        <v>985</v>
      </c>
      <c r="AG33" s="13">
        <v>948</v>
      </c>
      <c r="AH33" s="13">
        <v>668</v>
      </c>
      <c r="AI33" s="13">
        <v>454</v>
      </c>
      <c r="AJ33" s="13">
        <v>443</v>
      </c>
      <c r="AK33" s="13">
        <v>1623</v>
      </c>
      <c r="AL33" s="13">
        <v>1305</v>
      </c>
      <c r="AM33" s="13">
        <v>1264</v>
      </c>
      <c r="AN33" s="13">
        <v>1108</v>
      </c>
      <c r="AO33" s="13">
        <v>1779</v>
      </c>
      <c r="AP33" s="13">
        <v>1883</v>
      </c>
      <c r="AQ33" s="13">
        <v>1936</v>
      </c>
      <c r="AR33" s="13">
        <v>1644</v>
      </c>
      <c r="AS33" s="13">
        <v>2029</v>
      </c>
      <c r="AT33" s="13">
        <v>1215</v>
      </c>
      <c r="AU33" s="13">
        <v>1810</v>
      </c>
      <c r="AV33" s="13">
        <v>1354</v>
      </c>
      <c r="AW33" s="13">
        <v>2398</v>
      </c>
      <c r="AX33" s="13">
        <v>1782</v>
      </c>
      <c r="AY33" s="13">
        <v>1579</v>
      </c>
      <c r="AZ33" s="13">
        <v>1064</v>
      </c>
      <c r="BA33" s="13">
        <v>2289</v>
      </c>
      <c r="BB33" s="13">
        <v>1158</v>
      </c>
      <c r="BC33" s="13">
        <v>1292</v>
      </c>
    </row>
    <row r="34" spans="1:55" x14ac:dyDescent="0.2">
      <c r="A34" s="12"/>
      <c r="B34" s="15" t="s">
        <v>200</v>
      </c>
      <c r="C34" s="13">
        <v>5380</v>
      </c>
      <c r="D34" s="13">
        <v>5305</v>
      </c>
      <c r="E34" s="13">
        <v>6213</v>
      </c>
      <c r="F34" s="13">
        <v>5393</v>
      </c>
      <c r="G34" s="13">
        <v>5267</v>
      </c>
      <c r="H34" s="13">
        <v>5224</v>
      </c>
      <c r="I34" s="13">
        <v>5034</v>
      </c>
      <c r="J34" s="13">
        <v>3205</v>
      </c>
      <c r="K34" s="13">
        <v>5316</v>
      </c>
      <c r="L34" s="13">
        <v>5806</v>
      </c>
      <c r="M34" s="13">
        <v>6397</v>
      </c>
      <c r="N34" s="13">
        <v>6283</v>
      </c>
      <c r="O34" s="13">
        <v>5738</v>
      </c>
      <c r="P34" s="13">
        <v>7314</v>
      </c>
      <c r="Q34" s="13">
        <v>5437</v>
      </c>
      <c r="R34" s="13">
        <v>6272</v>
      </c>
      <c r="S34" s="13">
        <v>7116</v>
      </c>
      <c r="T34" s="13">
        <v>6612</v>
      </c>
      <c r="U34" s="13">
        <v>5687</v>
      </c>
      <c r="V34" s="13">
        <v>5164</v>
      </c>
      <c r="W34" s="13">
        <v>5060</v>
      </c>
      <c r="X34" s="13">
        <v>4876</v>
      </c>
      <c r="Y34" s="13">
        <v>5663</v>
      </c>
      <c r="Z34" s="13">
        <v>5111</v>
      </c>
      <c r="AA34" s="13">
        <v>5458</v>
      </c>
      <c r="AB34" s="13">
        <v>4337</v>
      </c>
      <c r="AC34" s="13">
        <v>4540</v>
      </c>
      <c r="AD34" s="13">
        <v>5252</v>
      </c>
      <c r="AE34" s="13">
        <v>4219</v>
      </c>
      <c r="AF34" s="13">
        <v>4307</v>
      </c>
      <c r="AG34" s="13">
        <v>4193</v>
      </c>
      <c r="AH34" s="13">
        <v>4096</v>
      </c>
      <c r="AI34" s="13">
        <v>3566</v>
      </c>
      <c r="AJ34" s="13">
        <v>2780</v>
      </c>
      <c r="AK34" s="13">
        <v>3610</v>
      </c>
      <c r="AL34" s="13">
        <v>4712</v>
      </c>
      <c r="AM34" s="13">
        <v>5830</v>
      </c>
      <c r="AN34" s="13">
        <v>6734</v>
      </c>
      <c r="AO34" s="13">
        <v>6834</v>
      </c>
      <c r="AP34" s="13">
        <v>8303</v>
      </c>
      <c r="AQ34" s="13">
        <v>7963</v>
      </c>
      <c r="AR34" s="13">
        <v>7127</v>
      </c>
      <c r="AS34" s="13">
        <v>6675</v>
      </c>
      <c r="AT34" s="13">
        <v>7905</v>
      </c>
      <c r="AU34" s="13">
        <v>7512</v>
      </c>
      <c r="AV34" s="13">
        <v>8143</v>
      </c>
      <c r="AW34" s="13">
        <v>6252</v>
      </c>
      <c r="AX34" s="13">
        <v>7547</v>
      </c>
      <c r="AY34" s="13">
        <v>7340</v>
      </c>
      <c r="AZ34" s="13">
        <v>7740</v>
      </c>
      <c r="BA34" s="13">
        <v>5012</v>
      </c>
      <c r="BB34" s="13">
        <v>4670</v>
      </c>
      <c r="BC34" s="13">
        <v>5452</v>
      </c>
    </row>
    <row r="35" spans="1:55" x14ac:dyDescent="0.2">
      <c r="A35" s="12"/>
      <c r="B35" s="15" t="s">
        <v>202</v>
      </c>
      <c r="C35" s="13">
        <v>1508</v>
      </c>
      <c r="D35" s="13">
        <v>1532</v>
      </c>
      <c r="E35" s="13">
        <v>1317</v>
      </c>
      <c r="F35" s="13">
        <v>1201</v>
      </c>
      <c r="G35" s="13">
        <v>1232</v>
      </c>
      <c r="H35" s="13">
        <v>1575</v>
      </c>
      <c r="I35" s="13">
        <v>1664</v>
      </c>
      <c r="J35" s="13">
        <v>1161</v>
      </c>
      <c r="K35" s="13">
        <v>1728</v>
      </c>
      <c r="L35" s="13">
        <v>1509</v>
      </c>
      <c r="M35" s="13">
        <v>1417</v>
      </c>
      <c r="N35" s="13">
        <v>1248</v>
      </c>
      <c r="O35" s="13">
        <v>1402</v>
      </c>
      <c r="P35" s="13">
        <v>1435</v>
      </c>
      <c r="Q35" s="13">
        <v>971</v>
      </c>
      <c r="R35" s="13">
        <v>1278</v>
      </c>
      <c r="S35" s="13">
        <v>1121</v>
      </c>
      <c r="T35" s="13">
        <v>1372</v>
      </c>
      <c r="U35" s="13">
        <v>1167</v>
      </c>
      <c r="V35" s="13">
        <v>988</v>
      </c>
      <c r="W35" s="13">
        <v>1314</v>
      </c>
      <c r="X35" s="13">
        <v>1199</v>
      </c>
      <c r="Y35" s="13">
        <v>1193</v>
      </c>
      <c r="Z35" s="13">
        <v>1377</v>
      </c>
      <c r="AA35" s="13">
        <v>1285</v>
      </c>
      <c r="AB35" s="13">
        <v>1088</v>
      </c>
      <c r="AC35" s="13">
        <v>1181</v>
      </c>
      <c r="AD35" s="13">
        <v>1383</v>
      </c>
      <c r="AE35" s="13">
        <v>1215</v>
      </c>
      <c r="AF35" s="13">
        <v>1350</v>
      </c>
      <c r="AG35" s="13">
        <v>1221</v>
      </c>
      <c r="AH35" s="13">
        <v>1293</v>
      </c>
      <c r="AI35" s="13">
        <v>1323</v>
      </c>
      <c r="AJ35" s="13">
        <v>1152</v>
      </c>
      <c r="AK35" s="13">
        <v>1034</v>
      </c>
      <c r="AL35" s="13">
        <v>1208</v>
      </c>
      <c r="AM35" s="13">
        <v>1277</v>
      </c>
      <c r="AN35" s="13">
        <v>1429</v>
      </c>
      <c r="AO35" s="13">
        <v>964</v>
      </c>
      <c r="AP35" s="13">
        <v>1441</v>
      </c>
      <c r="AQ35" s="13">
        <v>1491</v>
      </c>
      <c r="AR35" s="13">
        <v>1540</v>
      </c>
      <c r="AS35" s="13">
        <v>1071</v>
      </c>
      <c r="AT35" s="13">
        <v>1705</v>
      </c>
      <c r="AU35" s="13">
        <v>1215</v>
      </c>
      <c r="AV35" s="13">
        <v>1138</v>
      </c>
      <c r="AW35" s="13">
        <v>1378</v>
      </c>
      <c r="AX35" s="13">
        <v>1017</v>
      </c>
      <c r="AY35" s="13">
        <v>1671</v>
      </c>
      <c r="AZ35" s="13">
        <v>1175</v>
      </c>
      <c r="BA35" s="13">
        <v>1334</v>
      </c>
      <c r="BB35" s="13">
        <v>1096</v>
      </c>
      <c r="BC35" s="13">
        <v>1598</v>
      </c>
    </row>
    <row r="36" spans="1:55" x14ac:dyDescent="0.2">
      <c r="A36" s="12"/>
      <c r="B36" s="15"/>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c r="BC36" s="13"/>
    </row>
    <row r="37" spans="1:55" x14ac:dyDescent="0.2">
      <c r="A37" s="9" t="s">
        <v>203</v>
      </c>
      <c r="C37" s="5">
        <v>1915</v>
      </c>
      <c r="D37" s="5">
        <v>1947</v>
      </c>
      <c r="E37" s="5">
        <v>1885</v>
      </c>
      <c r="F37" s="5">
        <v>1742</v>
      </c>
      <c r="G37" s="5">
        <v>1857</v>
      </c>
      <c r="H37" s="5">
        <v>2209</v>
      </c>
      <c r="I37" s="5">
        <v>1775</v>
      </c>
      <c r="J37" s="5">
        <v>1633</v>
      </c>
      <c r="K37" s="5">
        <v>2032</v>
      </c>
      <c r="L37" s="5">
        <v>1857</v>
      </c>
      <c r="M37" s="5">
        <v>1945</v>
      </c>
      <c r="N37" s="5">
        <v>1674</v>
      </c>
      <c r="O37" s="5">
        <v>1877</v>
      </c>
      <c r="P37" s="5">
        <v>2032</v>
      </c>
      <c r="Q37" s="5">
        <v>1799</v>
      </c>
      <c r="R37" s="5">
        <v>1646</v>
      </c>
      <c r="S37" s="5">
        <v>1960</v>
      </c>
      <c r="T37" s="5">
        <v>1828</v>
      </c>
      <c r="U37" s="5">
        <v>1825</v>
      </c>
      <c r="V37" s="5">
        <v>1477</v>
      </c>
      <c r="W37" s="5">
        <v>1791</v>
      </c>
      <c r="X37" s="5">
        <v>1470</v>
      </c>
      <c r="Y37" s="5">
        <v>1543</v>
      </c>
      <c r="Z37" s="5">
        <v>1740</v>
      </c>
      <c r="AA37" s="5">
        <v>1691</v>
      </c>
      <c r="AB37" s="5">
        <v>1695</v>
      </c>
      <c r="AC37" s="5">
        <v>1558</v>
      </c>
      <c r="AD37" s="5">
        <v>1840</v>
      </c>
      <c r="AE37" s="5">
        <v>1654</v>
      </c>
      <c r="AF37" s="5">
        <v>1739</v>
      </c>
      <c r="AG37" s="5">
        <v>1796</v>
      </c>
      <c r="AH37" s="5">
        <v>1718</v>
      </c>
      <c r="AI37" s="5">
        <v>1686</v>
      </c>
      <c r="AJ37" s="5">
        <v>1621</v>
      </c>
      <c r="AK37" s="5">
        <v>1842</v>
      </c>
      <c r="AL37" s="5">
        <v>1715</v>
      </c>
      <c r="AM37" s="5">
        <v>1590</v>
      </c>
      <c r="AN37" s="5">
        <v>1667</v>
      </c>
      <c r="AO37" s="5">
        <v>1899</v>
      </c>
      <c r="AP37" s="5">
        <v>1660</v>
      </c>
      <c r="AQ37" s="5">
        <v>1740</v>
      </c>
      <c r="AR37" s="5">
        <v>2095</v>
      </c>
      <c r="AS37" s="5">
        <v>1911</v>
      </c>
      <c r="AT37" s="5">
        <v>1940</v>
      </c>
      <c r="AU37" s="5">
        <v>1980</v>
      </c>
      <c r="AV37" s="5">
        <v>1838</v>
      </c>
      <c r="AW37" s="5">
        <v>1859</v>
      </c>
      <c r="AX37" s="5">
        <v>1720</v>
      </c>
      <c r="AY37" s="5">
        <v>1842</v>
      </c>
      <c r="AZ37" s="5">
        <v>1907</v>
      </c>
      <c r="BA37" s="5">
        <v>1805</v>
      </c>
      <c r="BB37" s="5">
        <v>1529</v>
      </c>
      <c r="BC37" s="5">
        <v>1742</v>
      </c>
    </row>
    <row r="38" spans="1:55" x14ac:dyDescent="0.2">
      <c r="A38" s="4"/>
      <c r="B38" s="4"/>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c r="BC38" s="13"/>
    </row>
    <row r="39" spans="1:55" x14ac:dyDescent="0.2">
      <c r="A39" s="18" t="s">
        <v>204</v>
      </c>
      <c r="B39" s="19"/>
      <c r="C39" s="20">
        <v>18460</v>
      </c>
      <c r="D39" s="20">
        <v>19809</v>
      </c>
      <c r="E39" s="20">
        <v>19755</v>
      </c>
      <c r="F39" s="20">
        <v>19654</v>
      </c>
      <c r="G39" s="20">
        <v>20243</v>
      </c>
      <c r="H39" s="20">
        <v>19206</v>
      </c>
      <c r="I39" s="20">
        <v>18480</v>
      </c>
      <c r="J39" s="20">
        <v>14866</v>
      </c>
      <c r="K39" s="20">
        <v>19905</v>
      </c>
      <c r="L39" s="20">
        <v>19447</v>
      </c>
      <c r="M39" s="20">
        <v>20772</v>
      </c>
      <c r="N39" s="20">
        <v>20438</v>
      </c>
      <c r="O39" s="20">
        <v>20587</v>
      </c>
      <c r="P39" s="20">
        <v>21847</v>
      </c>
      <c r="Q39" s="20">
        <v>19392</v>
      </c>
      <c r="R39" s="20">
        <v>20290</v>
      </c>
      <c r="S39" s="20">
        <v>21616</v>
      </c>
      <c r="T39" s="20">
        <v>21392</v>
      </c>
      <c r="U39" s="20">
        <v>19172</v>
      </c>
      <c r="V39" s="20">
        <v>17724</v>
      </c>
      <c r="W39" s="20">
        <v>16443</v>
      </c>
      <c r="X39" s="20">
        <v>17274</v>
      </c>
      <c r="Y39" s="20">
        <v>17444</v>
      </c>
      <c r="Z39" s="20">
        <v>18846</v>
      </c>
      <c r="AA39" s="20">
        <v>17930</v>
      </c>
      <c r="AB39" s="20">
        <v>16876</v>
      </c>
      <c r="AC39" s="20">
        <v>17923</v>
      </c>
      <c r="AD39" s="20">
        <v>18519</v>
      </c>
      <c r="AE39" s="20">
        <v>17774</v>
      </c>
      <c r="AF39" s="20">
        <v>17262</v>
      </c>
      <c r="AG39" s="20">
        <v>18008</v>
      </c>
      <c r="AH39" s="20">
        <v>16463</v>
      </c>
      <c r="AI39" s="20">
        <v>16322</v>
      </c>
      <c r="AJ39" s="20">
        <v>15856</v>
      </c>
      <c r="AK39" s="20">
        <v>17123</v>
      </c>
      <c r="AL39" s="20">
        <v>17563</v>
      </c>
      <c r="AM39" s="20">
        <v>19172</v>
      </c>
      <c r="AN39" s="20">
        <v>19993</v>
      </c>
      <c r="AO39" s="20">
        <v>20824</v>
      </c>
      <c r="AP39" s="20">
        <v>23158</v>
      </c>
      <c r="AQ39" s="20">
        <v>22850</v>
      </c>
      <c r="AR39" s="20">
        <v>21022</v>
      </c>
      <c r="AS39" s="20">
        <v>20509</v>
      </c>
      <c r="AT39" s="20">
        <v>21628</v>
      </c>
      <c r="AU39" s="20">
        <v>22232</v>
      </c>
      <c r="AV39" s="20">
        <v>22181</v>
      </c>
      <c r="AW39" s="20">
        <v>21762</v>
      </c>
      <c r="AX39" s="20">
        <v>21240</v>
      </c>
      <c r="AY39" s="20">
        <v>22284</v>
      </c>
      <c r="AZ39" s="20">
        <v>20537</v>
      </c>
      <c r="BA39" s="20">
        <v>19555</v>
      </c>
      <c r="BB39" s="20">
        <v>14832</v>
      </c>
      <c r="BC39" s="20">
        <v>18029</v>
      </c>
    </row>
    <row r="40" spans="1:55" x14ac:dyDescent="0.2">
      <c r="A40" s="12"/>
      <c r="B40" s="15"/>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c r="BC40" s="13"/>
    </row>
    <row r="41" spans="1:55" x14ac:dyDescent="0.2">
      <c r="A41" s="12"/>
      <c r="B41" s="15" t="s">
        <v>205</v>
      </c>
      <c r="C41" s="13">
        <v>37143</v>
      </c>
      <c r="D41" s="13">
        <v>42748</v>
      </c>
      <c r="E41" s="13">
        <v>42427</v>
      </c>
      <c r="F41" s="13">
        <v>38558</v>
      </c>
      <c r="G41" s="13">
        <v>40848</v>
      </c>
      <c r="H41" s="13">
        <v>39173</v>
      </c>
      <c r="I41" s="13">
        <v>37939</v>
      </c>
      <c r="J41" s="13">
        <v>30434</v>
      </c>
      <c r="K41" s="13">
        <v>38582</v>
      </c>
      <c r="L41" s="13">
        <v>40893</v>
      </c>
      <c r="M41" s="13">
        <v>42540</v>
      </c>
      <c r="N41" s="13">
        <v>45518</v>
      </c>
      <c r="O41" s="13">
        <v>45400</v>
      </c>
      <c r="P41" s="13">
        <v>40595</v>
      </c>
      <c r="Q41" s="13">
        <v>45261</v>
      </c>
      <c r="R41" s="13">
        <v>43883</v>
      </c>
      <c r="S41" s="13">
        <v>48960</v>
      </c>
      <c r="T41" s="13">
        <v>48359</v>
      </c>
      <c r="U41" s="13">
        <v>48686</v>
      </c>
      <c r="V41" s="13">
        <v>46843</v>
      </c>
      <c r="W41" s="13">
        <v>44102</v>
      </c>
      <c r="X41" s="13">
        <v>48462</v>
      </c>
      <c r="Y41" s="13">
        <v>45385</v>
      </c>
      <c r="Z41" s="13">
        <v>44882</v>
      </c>
      <c r="AA41" s="13">
        <v>47071</v>
      </c>
      <c r="AB41" s="13">
        <v>48183</v>
      </c>
      <c r="AC41" s="13">
        <v>44278</v>
      </c>
      <c r="AD41" s="13">
        <v>45418</v>
      </c>
      <c r="AE41" s="13">
        <v>44005</v>
      </c>
      <c r="AF41" s="13">
        <v>43611</v>
      </c>
      <c r="AG41" s="13">
        <v>43792</v>
      </c>
      <c r="AH41" s="13">
        <v>44988</v>
      </c>
      <c r="AI41" s="13">
        <v>44196</v>
      </c>
      <c r="AJ41" s="13">
        <v>46408</v>
      </c>
      <c r="AK41" s="13">
        <v>43408</v>
      </c>
      <c r="AL41" s="13">
        <v>41189</v>
      </c>
      <c r="AM41" s="13">
        <v>42679</v>
      </c>
      <c r="AN41" s="13">
        <v>43617</v>
      </c>
      <c r="AO41" s="13">
        <v>44156</v>
      </c>
      <c r="AP41" s="13">
        <v>43808</v>
      </c>
      <c r="AQ41" s="13">
        <v>43247</v>
      </c>
      <c r="AR41" s="13">
        <v>41696</v>
      </c>
      <c r="AS41" s="13">
        <v>43758</v>
      </c>
      <c r="AT41" s="13">
        <v>42821</v>
      </c>
      <c r="AU41" s="13">
        <v>41533</v>
      </c>
      <c r="AV41" s="13">
        <v>40557</v>
      </c>
      <c r="AW41" s="13">
        <v>42751</v>
      </c>
      <c r="AX41" s="13">
        <v>44095</v>
      </c>
      <c r="AY41" s="13">
        <v>40978</v>
      </c>
      <c r="AZ41" s="13">
        <v>40485</v>
      </c>
      <c r="BA41" s="13">
        <v>39985</v>
      </c>
      <c r="BB41" s="13">
        <v>31953</v>
      </c>
      <c r="BC41" s="13">
        <v>33106</v>
      </c>
    </row>
    <row r="42" spans="1:55" x14ac:dyDescent="0.2">
      <c r="A42" s="12"/>
      <c r="B42" s="15" t="s">
        <v>206</v>
      </c>
      <c r="C42" s="13">
        <v>0</v>
      </c>
      <c r="D42" s="13">
        <v>0</v>
      </c>
      <c r="E42" s="13">
        <v>0</v>
      </c>
      <c r="F42" s="13">
        <v>0</v>
      </c>
      <c r="G42" s="13">
        <v>0</v>
      </c>
      <c r="H42" s="13">
        <v>0</v>
      </c>
      <c r="I42" s="13">
        <v>0</v>
      </c>
      <c r="J42" s="13">
        <v>0</v>
      </c>
      <c r="K42" s="13">
        <v>0</v>
      </c>
      <c r="L42" s="13">
        <v>0</v>
      </c>
      <c r="M42" s="13">
        <v>0</v>
      </c>
      <c r="N42" s="13">
        <v>0</v>
      </c>
      <c r="O42" s="13">
        <v>0</v>
      </c>
      <c r="P42" s="13">
        <v>0</v>
      </c>
      <c r="Q42" s="13">
        <v>0</v>
      </c>
      <c r="R42" s="13">
        <v>0</v>
      </c>
      <c r="S42" s="13">
        <v>0</v>
      </c>
      <c r="T42" s="13">
        <v>0</v>
      </c>
      <c r="U42" s="13">
        <v>0</v>
      </c>
      <c r="V42" s="13">
        <v>0</v>
      </c>
      <c r="W42" s="13">
        <v>0</v>
      </c>
      <c r="X42" s="13">
        <v>0</v>
      </c>
      <c r="Y42" s="13">
        <v>0</v>
      </c>
      <c r="Z42" s="13">
        <v>0</v>
      </c>
      <c r="AA42" s="13">
        <v>0</v>
      </c>
      <c r="AB42" s="13">
        <v>0</v>
      </c>
      <c r="AC42" s="13">
        <v>0</v>
      </c>
      <c r="AD42" s="13">
        <v>0</v>
      </c>
      <c r="AE42" s="13">
        <v>0</v>
      </c>
      <c r="AF42" s="13">
        <v>0</v>
      </c>
      <c r="AG42" s="13">
        <v>0</v>
      </c>
      <c r="AH42" s="13">
        <v>0</v>
      </c>
      <c r="AI42" s="13">
        <v>0</v>
      </c>
      <c r="AJ42" s="13">
        <v>0</v>
      </c>
      <c r="AK42" s="13">
        <v>0</v>
      </c>
      <c r="AL42" s="13">
        <v>0</v>
      </c>
      <c r="AM42" s="13">
        <v>0</v>
      </c>
      <c r="AN42" s="13">
        <v>0</v>
      </c>
      <c r="AO42" s="13">
        <v>0</v>
      </c>
      <c r="AP42" s="13">
        <v>0</v>
      </c>
      <c r="AQ42" s="13">
        <v>1</v>
      </c>
      <c r="AR42" s="13">
        <v>0</v>
      </c>
      <c r="AS42" s="13">
        <v>0</v>
      </c>
      <c r="AT42" s="13">
        <v>0</v>
      </c>
      <c r="AU42" s="13">
        <v>0</v>
      </c>
      <c r="AV42" s="13">
        <v>0</v>
      </c>
      <c r="AW42" s="13">
        <v>0</v>
      </c>
      <c r="AX42" s="13">
        <v>0</v>
      </c>
      <c r="AY42" s="13">
        <v>0</v>
      </c>
      <c r="AZ42" s="13">
        <v>0</v>
      </c>
      <c r="BA42" s="13">
        <v>0</v>
      </c>
      <c r="BB42" s="13">
        <v>0</v>
      </c>
      <c r="BC42" s="13">
        <v>0</v>
      </c>
    </row>
    <row r="43" spans="1:55" x14ac:dyDescent="0.2">
      <c r="A43" s="12"/>
      <c r="B43" s="15"/>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c r="BC43" s="13"/>
    </row>
    <row r="44" spans="1:55" x14ac:dyDescent="0.2">
      <c r="A44" s="18" t="s">
        <v>207</v>
      </c>
      <c r="B44" s="18"/>
      <c r="C44" s="20">
        <v>37143</v>
      </c>
      <c r="D44" s="20">
        <v>42748</v>
      </c>
      <c r="E44" s="20">
        <v>42427</v>
      </c>
      <c r="F44" s="20">
        <v>38558</v>
      </c>
      <c r="G44" s="20">
        <v>40848</v>
      </c>
      <c r="H44" s="20">
        <v>39173</v>
      </c>
      <c r="I44" s="20">
        <v>37939</v>
      </c>
      <c r="J44" s="20">
        <v>30434</v>
      </c>
      <c r="K44" s="20">
        <v>38582</v>
      </c>
      <c r="L44" s="20">
        <v>40893</v>
      </c>
      <c r="M44" s="20">
        <v>42540</v>
      </c>
      <c r="N44" s="20">
        <v>45518</v>
      </c>
      <c r="O44" s="20">
        <v>45400</v>
      </c>
      <c r="P44" s="20">
        <v>40595</v>
      </c>
      <c r="Q44" s="20">
        <v>45261</v>
      </c>
      <c r="R44" s="20">
        <v>43883</v>
      </c>
      <c r="S44" s="20">
        <v>48960</v>
      </c>
      <c r="T44" s="20">
        <v>48359</v>
      </c>
      <c r="U44" s="20">
        <v>48686</v>
      </c>
      <c r="V44" s="20">
        <v>46843</v>
      </c>
      <c r="W44" s="20">
        <v>44102</v>
      </c>
      <c r="X44" s="20">
        <v>48462</v>
      </c>
      <c r="Y44" s="20">
        <v>45385</v>
      </c>
      <c r="Z44" s="20">
        <v>44882</v>
      </c>
      <c r="AA44" s="20">
        <v>47071</v>
      </c>
      <c r="AB44" s="20">
        <v>48183</v>
      </c>
      <c r="AC44" s="20">
        <v>44278</v>
      </c>
      <c r="AD44" s="20">
        <v>45418</v>
      </c>
      <c r="AE44" s="20">
        <v>44005</v>
      </c>
      <c r="AF44" s="20">
        <v>43611</v>
      </c>
      <c r="AG44" s="20">
        <v>43792</v>
      </c>
      <c r="AH44" s="20">
        <v>44988</v>
      </c>
      <c r="AI44" s="20">
        <v>44196</v>
      </c>
      <c r="AJ44" s="20">
        <v>46408</v>
      </c>
      <c r="AK44" s="20">
        <v>43408</v>
      </c>
      <c r="AL44" s="20">
        <v>41189</v>
      </c>
      <c r="AM44" s="20">
        <v>42679</v>
      </c>
      <c r="AN44" s="20">
        <v>43617</v>
      </c>
      <c r="AO44" s="20">
        <v>44156</v>
      </c>
      <c r="AP44" s="20">
        <v>43808</v>
      </c>
      <c r="AQ44" s="20">
        <v>43248</v>
      </c>
      <c r="AR44" s="20">
        <v>41696</v>
      </c>
      <c r="AS44" s="20">
        <v>43758</v>
      </c>
      <c r="AT44" s="20">
        <v>42821</v>
      </c>
      <c r="AU44" s="20">
        <v>41533</v>
      </c>
      <c r="AV44" s="20">
        <v>40557</v>
      </c>
      <c r="AW44" s="20">
        <v>42751</v>
      </c>
      <c r="AX44" s="20">
        <v>44095</v>
      </c>
      <c r="AY44" s="20">
        <v>40978</v>
      </c>
      <c r="AZ44" s="20">
        <v>40485</v>
      </c>
      <c r="BA44" s="20">
        <v>39985</v>
      </c>
      <c r="BB44" s="20">
        <v>31953</v>
      </c>
      <c r="BC44" s="20">
        <v>33106</v>
      </c>
    </row>
    <row r="45" spans="1:55" x14ac:dyDescent="0.2">
      <c r="A45" s="12"/>
      <c r="B45" s="14"/>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c r="BC45" s="13"/>
    </row>
    <row r="46" spans="1:55" ht="13.5" thickBot="1" x14ac:dyDescent="0.25">
      <c r="A46" s="21" t="s">
        <v>208</v>
      </c>
      <c r="B46" s="22"/>
      <c r="C46" s="23">
        <v>94297</v>
      </c>
      <c r="D46" s="23">
        <v>105684</v>
      </c>
      <c r="E46" s="23">
        <v>104150</v>
      </c>
      <c r="F46" s="23">
        <v>101090</v>
      </c>
      <c r="G46" s="23">
        <v>103773</v>
      </c>
      <c r="H46" s="23">
        <v>97948</v>
      </c>
      <c r="I46" s="23">
        <v>98506</v>
      </c>
      <c r="J46" s="23">
        <v>84833</v>
      </c>
      <c r="K46" s="23">
        <v>103176</v>
      </c>
      <c r="L46" s="23">
        <v>103651</v>
      </c>
      <c r="M46" s="23">
        <v>107899</v>
      </c>
      <c r="N46" s="23">
        <v>109764</v>
      </c>
      <c r="O46" s="23">
        <v>112502</v>
      </c>
      <c r="P46" s="23">
        <v>105964</v>
      </c>
      <c r="Q46" s="23">
        <v>107992</v>
      </c>
      <c r="R46" s="23">
        <v>107028</v>
      </c>
      <c r="S46" s="23">
        <v>113925</v>
      </c>
      <c r="T46" s="23">
        <v>112074</v>
      </c>
      <c r="U46" s="23">
        <v>113187</v>
      </c>
      <c r="V46" s="23">
        <v>108903</v>
      </c>
      <c r="W46" s="23">
        <v>104774</v>
      </c>
      <c r="X46" s="23">
        <v>109333</v>
      </c>
      <c r="Y46" s="23">
        <v>107730</v>
      </c>
      <c r="Z46" s="23">
        <v>106776</v>
      </c>
      <c r="AA46" s="23">
        <v>109121</v>
      </c>
      <c r="AB46" s="23">
        <v>108381</v>
      </c>
      <c r="AC46" s="23">
        <v>103201</v>
      </c>
      <c r="AD46" s="23">
        <v>105308</v>
      </c>
      <c r="AE46" s="23">
        <v>103142</v>
      </c>
      <c r="AF46" s="23">
        <v>103361</v>
      </c>
      <c r="AG46" s="23">
        <v>104212</v>
      </c>
      <c r="AH46" s="23">
        <v>102575</v>
      </c>
      <c r="AI46" s="23">
        <v>99481</v>
      </c>
      <c r="AJ46" s="23">
        <v>101898</v>
      </c>
      <c r="AK46" s="23">
        <v>103890</v>
      </c>
      <c r="AL46" s="23">
        <v>101232</v>
      </c>
      <c r="AM46" s="23">
        <v>105118</v>
      </c>
      <c r="AN46" s="23">
        <v>104454</v>
      </c>
      <c r="AO46" s="23">
        <v>109338</v>
      </c>
      <c r="AP46" s="23">
        <v>108356</v>
      </c>
      <c r="AQ46" s="23">
        <v>109165</v>
      </c>
      <c r="AR46" s="23">
        <v>105422</v>
      </c>
      <c r="AS46" s="23">
        <v>105555</v>
      </c>
      <c r="AT46" s="23">
        <v>104602</v>
      </c>
      <c r="AU46" s="23">
        <v>106536</v>
      </c>
      <c r="AV46" s="23">
        <v>103863</v>
      </c>
      <c r="AW46" s="23">
        <v>107623</v>
      </c>
      <c r="AX46" s="23">
        <v>106861</v>
      </c>
      <c r="AY46" s="23">
        <v>104688</v>
      </c>
      <c r="AZ46" s="23">
        <v>102229</v>
      </c>
      <c r="BA46" s="23">
        <v>101558</v>
      </c>
      <c r="BB46" s="23">
        <v>82158</v>
      </c>
      <c r="BC46" s="23">
        <v>87213</v>
      </c>
    </row>
    <row r="47" spans="1:55" ht="13.5" thickTop="1" x14ac:dyDescent="0.2"/>
    <row r="49" spans="1:55" ht="13.5" thickBot="1" x14ac:dyDescent="0.25">
      <c r="A49" s="46" t="s">
        <v>209</v>
      </c>
      <c r="B49" s="22"/>
      <c r="C49" s="23">
        <v>4265.088049</v>
      </c>
      <c r="D49" s="23">
        <v>4832.4974380000003</v>
      </c>
      <c r="E49" s="23">
        <v>4750.4242810000005</v>
      </c>
      <c r="F49" s="23">
        <v>4693.6687290000009</v>
      </c>
      <c r="G49" s="23">
        <v>4752.575339</v>
      </c>
      <c r="H49" s="23">
        <v>4327.0079720000003</v>
      </c>
      <c r="I49" s="23">
        <v>4597.0233950000002</v>
      </c>
      <c r="J49" s="23">
        <v>3738.6683119999998</v>
      </c>
      <c r="K49" s="23">
        <v>4870.7292380000008</v>
      </c>
      <c r="L49" s="23">
        <v>4687.5409129999998</v>
      </c>
      <c r="M49" s="23">
        <v>5091.7955449999999</v>
      </c>
      <c r="N49" s="23">
        <v>5039.0300420000003</v>
      </c>
      <c r="O49" s="23">
        <v>4797.8748610000002</v>
      </c>
      <c r="P49" s="23">
        <v>4805.4680129999997</v>
      </c>
      <c r="Q49" s="23">
        <v>4570.2539209999995</v>
      </c>
      <c r="R49" s="23">
        <v>4592.6638090000006</v>
      </c>
      <c r="S49" s="23">
        <v>4892.3480760000002</v>
      </c>
      <c r="T49" s="23">
        <v>5040.7545980000004</v>
      </c>
      <c r="U49" s="23">
        <v>4873</v>
      </c>
      <c r="V49" s="23">
        <v>4571</v>
      </c>
      <c r="W49" s="23">
        <v>4235.4478710000003</v>
      </c>
      <c r="X49" s="23">
        <v>4458.2505689999998</v>
      </c>
      <c r="Y49" s="23">
        <v>4526.152782000001</v>
      </c>
      <c r="Z49" s="23">
        <v>4282.6069939999998</v>
      </c>
      <c r="AA49" s="23">
        <v>4392.4044019999992</v>
      </c>
      <c r="AB49" s="23">
        <v>4303.7739360000005</v>
      </c>
      <c r="AC49" s="23">
        <v>4101.79673</v>
      </c>
      <c r="AD49" s="23">
        <v>4276.4052979999997</v>
      </c>
      <c r="AE49" s="23">
        <v>4200.0861550000009</v>
      </c>
      <c r="AF49" s="23">
        <v>4159.9876430000004</v>
      </c>
      <c r="AG49" s="23">
        <v>4404.772003</v>
      </c>
      <c r="AH49" s="23">
        <v>4215.6873089999999</v>
      </c>
      <c r="AI49" s="23">
        <v>4210.9448259999999</v>
      </c>
      <c r="AJ49" s="23">
        <v>4145.5388329999996</v>
      </c>
      <c r="AK49" s="23">
        <v>4384.0085120000003</v>
      </c>
      <c r="AL49" s="23">
        <v>4247.539479</v>
      </c>
      <c r="AM49" s="23">
        <v>4592.5775620000013</v>
      </c>
      <c r="AN49" s="23">
        <v>4493.5958459999993</v>
      </c>
      <c r="AO49" s="23">
        <v>4869.2683150000003</v>
      </c>
      <c r="AP49" s="23">
        <v>4881.4456309999996</v>
      </c>
      <c r="AQ49" s="23">
        <v>4970.1078680000001</v>
      </c>
      <c r="AR49" s="23">
        <v>4596.2458469999983</v>
      </c>
      <c r="AS49" s="23">
        <v>4706.6899389999999</v>
      </c>
      <c r="AT49" s="23">
        <v>4846.6550749999997</v>
      </c>
      <c r="AU49" s="23">
        <v>4978.2570119999991</v>
      </c>
      <c r="AV49" s="23">
        <v>4977.5791659999995</v>
      </c>
      <c r="AW49" s="23">
        <v>4899.1399009999996</v>
      </c>
      <c r="AX49" s="23">
        <v>4830.8733550000006</v>
      </c>
      <c r="AY49" s="23">
        <v>4874.8878539999996</v>
      </c>
      <c r="AZ49" s="23">
        <v>4639.8403760000001</v>
      </c>
      <c r="BA49" s="23">
        <v>4457.2750340000002</v>
      </c>
      <c r="BB49" s="23">
        <v>3696.7831889999998</v>
      </c>
      <c r="BC49" s="23">
        <v>4020.2408920000003</v>
      </c>
    </row>
    <row r="50" spans="1:55" ht="13.5" thickTop="1" x14ac:dyDescent="0.2">
      <c r="E50" s="44"/>
    </row>
    <row r="51" spans="1:55" x14ac:dyDescent="0.2">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c r="BB51" s="43"/>
    </row>
    <row r="52" spans="1:55" x14ac:dyDescent="0.2">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c r="BB52" s="43"/>
    </row>
  </sheetData>
  <sheetProtection algorithmName="SHA-512" hashValue="r67UqC7lHqysEA46wpLZ9qE9KUalJq7ao3RBOsJUY4FKFBUz91sK4vmXlv90a4+wQ6v7w6Zv+kNOEbZ3UtvNyw==" saltValue="KXNc2BlWFwuARZPCqzK6jA==" spinCount="100000" sheet="1" objects="1" scenarios="1"/>
  <mergeCells count="1">
    <mergeCell ref="A1:BC1"/>
  </mergeCells>
  <pageMargins left="0.17" right="0.17" top="0.17" bottom="0.5" header="0.17" footer="0.5"/>
  <pageSetup scale="70" fitToWidth="0" fitToHeight="0" orientation="landscape" r:id="rId1"/>
  <headerFooter alignWithMargins="0"/>
  <colBreaks count="3" manualBreakCount="3">
    <brk id="15" max="48" man="1"/>
    <brk id="28" max="48" man="1"/>
    <brk id="41" max="48"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0">
    <tabColor rgb="FFFF0000"/>
  </sheetPr>
  <dimension ref="A1:BC52"/>
  <sheetViews>
    <sheetView topLeftCell="AB12" workbookViewId="0">
      <selection activeCell="C22" sqref="C22"/>
    </sheetView>
  </sheetViews>
  <sheetFormatPr defaultColWidth="6.7109375" defaultRowHeight="12.75" x14ac:dyDescent="0.2"/>
  <cols>
    <col min="1" max="1" width="7.28515625" style="42" customWidth="1"/>
    <col min="2" max="2" width="53" style="42" bestFit="1" customWidth="1"/>
    <col min="3" max="3" width="9.5703125" style="43" bestFit="1" customWidth="1"/>
    <col min="4" max="53" width="9.42578125" style="42" customWidth="1"/>
    <col min="54" max="54" width="8.85546875" style="42" customWidth="1"/>
    <col min="55" max="16384" width="6.7109375" style="42"/>
  </cols>
  <sheetData>
    <row r="1" spans="1:55" ht="49.15" customHeight="1" x14ac:dyDescent="0.4">
      <c r="A1" s="143" t="s">
        <v>210</v>
      </c>
      <c r="B1" s="144"/>
      <c r="C1" s="144"/>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c r="AH1" s="144"/>
      <c r="AI1" s="144"/>
      <c r="AJ1" s="144"/>
      <c r="AK1" s="144"/>
      <c r="AL1" s="144"/>
      <c r="AM1" s="144"/>
      <c r="AN1" s="144"/>
      <c r="AO1" s="144"/>
      <c r="AP1" s="144"/>
      <c r="AQ1" s="144"/>
      <c r="AR1" s="144"/>
      <c r="AS1" s="144"/>
      <c r="AT1" s="144"/>
      <c r="AU1" s="144"/>
      <c r="AV1" s="144"/>
      <c r="AW1" s="144"/>
      <c r="AX1" s="144"/>
      <c r="AY1" s="144"/>
      <c r="AZ1" s="144"/>
      <c r="BA1" s="144"/>
      <c r="BB1" s="144"/>
      <c r="BC1" s="144"/>
    </row>
    <row r="2" spans="1:55" ht="13.5" thickBot="1" x14ac:dyDescent="0.25">
      <c r="A2" s="4"/>
      <c r="B2" s="7" t="s">
        <v>178</v>
      </c>
      <c r="C2" s="5">
        <v>1</v>
      </c>
      <c r="D2" s="5">
        <v>2</v>
      </c>
      <c r="E2" s="5">
        <v>3</v>
      </c>
      <c r="F2" s="5">
        <v>4</v>
      </c>
      <c r="G2" s="5">
        <v>5</v>
      </c>
      <c r="H2" s="5">
        <v>6</v>
      </c>
      <c r="I2" s="5">
        <v>7</v>
      </c>
      <c r="J2" s="5">
        <v>8</v>
      </c>
      <c r="K2" s="5">
        <v>9</v>
      </c>
      <c r="L2" s="5">
        <v>10</v>
      </c>
      <c r="M2" s="5">
        <v>11</v>
      </c>
      <c r="N2" s="5">
        <v>12</v>
      </c>
      <c r="O2" s="5">
        <v>13</v>
      </c>
      <c r="P2" s="5">
        <v>14</v>
      </c>
      <c r="Q2" s="5">
        <v>15</v>
      </c>
      <c r="R2" s="5">
        <v>16</v>
      </c>
      <c r="S2" s="5">
        <v>17</v>
      </c>
      <c r="T2" s="5">
        <v>18</v>
      </c>
      <c r="U2" s="5">
        <v>19</v>
      </c>
      <c r="V2" s="5">
        <v>20</v>
      </c>
      <c r="W2" s="5">
        <v>21</v>
      </c>
      <c r="X2" s="5">
        <v>22</v>
      </c>
      <c r="Y2" s="5">
        <v>23</v>
      </c>
      <c r="Z2" s="5">
        <v>24</v>
      </c>
      <c r="AA2" s="5">
        <v>25</v>
      </c>
      <c r="AB2" s="5">
        <v>26</v>
      </c>
      <c r="AC2" s="5">
        <v>27</v>
      </c>
      <c r="AD2" s="5">
        <v>28</v>
      </c>
      <c r="AE2" s="5">
        <v>29</v>
      </c>
      <c r="AF2" s="5">
        <v>30</v>
      </c>
      <c r="AG2" s="5">
        <v>31</v>
      </c>
      <c r="AH2" s="5">
        <v>32</v>
      </c>
      <c r="AI2" s="5">
        <v>33</v>
      </c>
      <c r="AJ2" s="5">
        <v>34</v>
      </c>
      <c r="AK2" s="5">
        <v>35</v>
      </c>
      <c r="AL2" s="5">
        <v>36</v>
      </c>
      <c r="AM2" s="5">
        <v>37</v>
      </c>
      <c r="AN2" s="5">
        <v>38</v>
      </c>
      <c r="AO2" s="5">
        <v>39</v>
      </c>
      <c r="AP2" s="5">
        <v>40</v>
      </c>
      <c r="AQ2" s="5">
        <v>41</v>
      </c>
      <c r="AR2" s="5">
        <v>42</v>
      </c>
      <c r="AS2" s="5">
        <v>43</v>
      </c>
      <c r="AT2" s="5">
        <v>44</v>
      </c>
      <c r="AU2" s="5">
        <v>45</v>
      </c>
      <c r="AV2" s="5">
        <v>46</v>
      </c>
      <c r="AW2" s="5">
        <v>47</v>
      </c>
      <c r="AX2" s="5">
        <v>48</v>
      </c>
      <c r="AY2" s="5">
        <v>49</v>
      </c>
      <c r="AZ2" s="5">
        <v>50</v>
      </c>
      <c r="BA2" s="5">
        <v>51</v>
      </c>
      <c r="BB2" s="5">
        <v>52</v>
      </c>
    </row>
    <row r="3" spans="1:55" s="45" customFormat="1" ht="24.75" thickBot="1" x14ac:dyDescent="0.25">
      <c r="A3" s="6"/>
      <c r="B3" s="50" t="s">
        <v>179</v>
      </c>
      <c r="C3" s="51">
        <v>45291</v>
      </c>
      <c r="D3" s="51">
        <v>45298</v>
      </c>
      <c r="E3" s="51">
        <v>45305</v>
      </c>
      <c r="F3" s="51">
        <v>45312</v>
      </c>
      <c r="G3" s="51">
        <v>45319</v>
      </c>
      <c r="H3" s="51">
        <v>45326</v>
      </c>
      <c r="I3" s="51">
        <v>45333</v>
      </c>
      <c r="J3" s="51">
        <v>45340</v>
      </c>
      <c r="K3" s="51">
        <v>45347</v>
      </c>
      <c r="L3" s="51">
        <v>45354</v>
      </c>
      <c r="M3" s="51">
        <v>45361</v>
      </c>
      <c r="N3" s="51">
        <v>45368</v>
      </c>
      <c r="O3" s="51">
        <v>45375</v>
      </c>
      <c r="P3" s="51">
        <v>45382</v>
      </c>
      <c r="Q3" s="51">
        <v>45389</v>
      </c>
      <c r="R3" s="51">
        <v>45396</v>
      </c>
      <c r="S3" s="51">
        <v>45403</v>
      </c>
      <c r="T3" s="51">
        <v>45410</v>
      </c>
      <c r="U3" s="51">
        <v>45417</v>
      </c>
      <c r="V3" s="51">
        <v>45424</v>
      </c>
      <c r="W3" s="51">
        <v>45431</v>
      </c>
      <c r="X3" s="51">
        <v>45438</v>
      </c>
      <c r="Y3" s="51">
        <v>45445</v>
      </c>
      <c r="Z3" s="51">
        <v>45452</v>
      </c>
      <c r="AA3" s="51">
        <v>45459</v>
      </c>
      <c r="AB3" s="51">
        <v>45466</v>
      </c>
      <c r="AC3" s="51">
        <v>45473</v>
      </c>
      <c r="AD3" s="51">
        <v>45480</v>
      </c>
      <c r="AE3" s="51">
        <v>45487</v>
      </c>
      <c r="AF3" s="51">
        <v>45494</v>
      </c>
      <c r="AG3" s="51">
        <v>45501</v>
      </c>
      <c r="AH3" s="51">
        <v>45508</v>
      </c>
      <c r="AI3" s="51">
        <v>45515</v>
      </c>
      <c r="AJ3" s="51">
        <v>45522</v>
      </c>
      <c r="AK3" s="51">
        <v>45529</v>
      </c>
      <c r="AL3" s="51">
        <v>45536</v>
      </c>
      <c r="AM3" s="51">
        <v>45543</v>
      </c>
      <c r="AN3" s="51">
        <v>45550</v>
      </c>
      <c r="AO3" s="51">
        <v>45557</v>
      </c>
      <c r="AP3" s="51">
        <v>45564</v>
      </c>
      <c r="AQ3" s="51">
        <v>45571</v>
      </c>
      <c r="AR3" s="51">
        <v>45578</v>
      </c>
      <c r="AS3" s="51">
        <v>45585</v>
      </c>
      <c r="AT3" s="51">
        <v>45592</v>
      </c>
      <c r="AU3" s="51">
        <v>45599</v>
      </c>
      <c r="AV3" s="51">
        <v>45606</v>
      </c>
      <c r="AW3" s="51">
        <v>45613</v>
      </c>
      <c r="AX3" s="51">
        <v>45620</v>
      </c>
      <c r="AY3" s="51">
        <v>45627</v>
      </c>
      <c r="AZ3" s="51">
        <v>45634</v>
      </c>
      <c r="BA3" s="51">
        <v>45641</v>
      </c>
      <c r="BB3" s="51">
        <v>45648</v>
      </c>
      <c r="BC3" s="53"/>
    </row>
    <row r="4" spans="1:55" x14ac:dyDescent="0.2">
      <c r="A4" s="9" t="s">
        <v>180</v>
      </c>
      <c r="B4" s="10"/>
      <c r="C4" s="11">
        <v>5174</v>
      </c>
      <c r="D4" s="11">
        <v>5250</v>
      </c>
      <c r="E4" s="11">
        <v>5091</v>
      </c>
      <c r="F4" s="11">
        <v>5836</v>
      </c>
      <c r="G4" s="11">
        <v>5875</v>
      </c>
      <c r="H4" s="11">
        <v>5832</v>
      </c>
      <c r="I4" s="11">
        <v>6048</v>
      </c>
      <c r="J4" s="11">
        <v>6004</v>
      </c>
      <c r="K4" s="11">
        <v>5805</v>
      </c>
      <c r="L4" s="11">
        <v>5833</v>
      </c>
      <c r="M4" s="11">
        <v>6098</v>
      </c>
      <c r="N4" s="11">
        <v>5818</v>
      </c>
      <c r="O4" s="11">
        <v>5815</v>
      </c>
      <c r="P4" s="11">
        <v>5780</v>
      </c>
      <c r="Q4" s="11">
        <v>6005</v>
      </c>
      <c r="R4" s="11">
        <v>5958</v>
      </c>
      <c r="S4" s="11">
        <v>5665</v>
      </c>
      <c r="T4" s="11">
        <v>5704</v>
      </c>
      <c r="U4" s="11">
        <v>5692</v>
      </c>
      <c r="V4" s="11">
        <v>5788</v>
      </c>
      <c r="W4" s="11">
        <v>5415</v>
      </c>
      <c r="X4" s="11">
        <v>5595</v>
      </c>
      <c r="Y4" s="11">
        <v>5564</v>
      </c>
      <c r="Z4" s="11">
        <v>5418</v>
      </c>
      <c r="AA4" s="11">
        <v>5424</v>
      </c>
      <c r="AB4" s="11">
        <v>5450</v>
      </c>
      <c r="AC4" s="11">
        <v>5248</v>
      </c>
      <c r="AD4" s="11">
        <v>5661</v>
      </c>
      <c r="AE4" s="11">
        <v>5542</v>
      </c>
      <c r="AF4" s="11">
        <v>5135</v>
      </c>
      <c r="AG4" s="11">
        <v>5210</v>
      </c>
      <c r="AH4" s="11">
        <v>5425</v>
      </c>
      <c r="AI4" s="11">
        <v>5549</v>
      </c>
      <c r="AJ4" s="11">
        <v>4405</v>
      </c>
      <c r="AK4" s="11">
        <v>4926</v>
      </c>
      <c r="AL4" s="11">
        <v>5254</v>
      </c>
      <c r="AM4" s="11">
        <v>5116</v>
      </c>
      <c r="AN4" s="11">
        <v>5485</v>
      </c>
      <c r="AO4" s="11">
        <v>5328</v>
      </c>
      <c r="AP4" s="11">
        <v>5153</v>
      </c>
      <c r="AQ4" s="11">
        <v>5238</v>
      </c>
      <c r="AR4" s="11">
        <v>5269</v>
      </c>
      <c r="AS4" s="11">
        <v>5296</v>
      </c>
      <c r="AT4" s="11">
        <v>5305</v>
      </c>
      <c r="AU4" s="11">
        <v>5128</v>
      </c>
      <c r="AV4" s="11">
        <v>4930</v>
      </c>
      <c r="AW4" s="11">
        <v>5524</v>
      </c>
      <c r="AX4" s="11">
        <v>5318</v>
      </c>
      <c r="AY4" s="11">
        <v>5025</v>
      </c>
      <c r="AZ4" s="11">
        <v>5058</v>
      </c>
      <c r="BA4" s="11">
        <v>5171</v>
      </c>
      <c r="BB4" s="11">
        <v>4153</v>
      </c>
    </row>
    <row r="5" spans="1:55" x14ac:dyDescent="0.2">
      <c r="A5" s="12"/>
      <c r="B5" s="15" t="s">
        <v>181</v>
      </c>
      <c r="C5" s="13">
        <v>1849</v>
      </c>
      <c r="D5" s="13">
        <v>2243</v>
      </c>
      <c r="E5" s="13">
        <v>2207</v>
      </c>
      <c r="F5" s="13">
        <v>2453</v>
      </c>
      <c r="G5" s="13">
        <v>2491</v>
      </c>
      <c r="H5" s="13">
        <v>2456</v>
      </c>
      <c r="I5" s="13">
        <v>2507</v>
      </c>
      <c r="J5" s="13">
        <v>2532</v>
      </c>
      <c r="K5" s="13">
        <v>2449</v>
      </c>
      <c r="L5" s="13">
        <v>2583</v>
      </c>
      <c r="M5" s="13">
        <v>2833</v>
      </c>
      <c r="N5" s="13">
        <v>2497</v>
      </c>
      <c r="O5" s="13">
        <v>2378</v>
      </c>
      <c r="P5" s="13">
        <v>2608</v>
      </c>
      <c r="Q5" s="13">
        <v>2731</v>
      </c>
      <c r="R5" s="13">
        <v>2645</v>
      </c>
      <c r="S5" s="13">
        <v>2521</v>
      </c>
      <c r="T5" s="13">
        <v>2535</v>
      </c>
      <c r="U5" s="13">
        <v>2639</v>
      </c>
      <c r="V5" s="13">
        <v>2599</v>
      </c>
      <c r="W5" s="13">
        <v>2241</v>
      </c>
      <c r="X5" s="13">
        <v>2401</v>
      </c>
      <c r="Y5" s="13">
        <v>2379</v>
      </c>
      <c r="Z5" s="13">
        <v>2376</v>
      </c>
      <c r="AA5" s="13">
        <v>2199</v>
      </c>
      <c r="AB5" s="13">
        <v>2223</v>
      </c>
      <c r="AC5" s="13">
        <v>2135</v>
      </c>
      <c r="AD5" s="13">
        <v>2357</v>
      </c>
      <c r="AE5" s="13">
        <v>2248</v>
      </c>
      <c r="AF5" s="13">
        <v>2046</v>
      </c>
      <c r="AG5" s="13">
        <v>2154</v>
      </c>
      <c r="AH5" s="13">
        <v>2180</v>
      </c>
      <c r="AI5" s="13">
        <v>2381</v>
      </c>
      <c r="AJ5" s="13">
        <v>1852</v>
      </c>
      <c r="AK5" s="13">
        <v>2127</v>
      </c>
      <c r="AL5" s="13">
        <v>2108</v>
      </c>
      <c r="AM5" s="13">
        <v>2229</v>
      </c>
      <c r="AN5" s="13">
        <v>2258</v>
      </c>
      <c r="AO5" s="13">
        <v>2318</v>
      </c>
      <c r="AP5" s="13">
        <v>2228</v>
      </c>
      <c r="AQ5" s="13">
        <v>2327</v>
      </c>
      <c r="AR5" s="13">
        <v>2202</v>
      </c>
      <c r="AS5" s="13">
        <v>2338</v>
      </c>
      <c r="AT5" s="13">
        <v>2394</v>
      </c>
      <c r="AU5" s="13">
        <v>2357</v>
      </c>
      <c r="AV5" s="13">
        <v>2107</v>
      </c>
      <c r="AW5" s="13">
        <v>2369</v>
      </c>
      <c r="AX5" s="13">
        <v>2092</v>
      </c>
      <c r="AY5" s="13">
        <v>1939</v>
      </c>
      <c r="AZ5" s="13">
        <v>1878</v>
      </c>
      <c r="BA5" s="13">
        <v>2023</v>
      </c>
      <c r="BB5" s="13">
        <v>1221</v>
      </c>
    </row>
    <row r="6" spans="1:55" x14ac:dyDescent="0.2">
      <c r="A6" s="12"/>
      <c r="B6" s="15" t="s">
        <v>182</v>
      </c>
      <c r="C6" s="13">
        <v>645</v>
      </c>
      <c r="D6" s="13">
        <v>470</v>
      </c>
      <c r="E6" s="13">
        <v>538</v>
      </c>
      <c r="F6" s="13">
        <v>646</v>
      </c>
      <c r="G6" s="13">
        <v>828</v>
      </c>
      <c r="H6" s="13">
        <v>780</v>
      </c>
      <c r="I6" s="13">
        <v>799</v>
      </c>
      <c r="J6" s="13">
        <v>720</v>
      </c>
      <c r="K6" s="13">
        <v>703</v>
      </c>
      <c r="L6" s="13">
        <v>667</v>
      </c>
      <c r="M6" s="13">
        <v>745</v>
      </c>
      <c r="N6" s="13">
        <v>723</v>
      </c>
      <c r="O6" s="13">
        <v>822</v>
      </c>
      <c r="P6" s="13">
        <v>699</v>
      </c>
      <c r="Q6" s="13">
        <v>693</v>
      </c>
      <c r="R6" s="13">
        <v>774</v>
      </c>
      <c r="S6" s="13">
        <v>726</v>
      </c>
      <c r="T6" s="13">
        <v>811</v>
      </c>
      <c r="U6" s="13">
        <v>747</v>
      </c>
      <c r="V6" s="13">
        <v>793</v>
      </c>
      <c r="W6" s="13">
        <v>678</v>
      </c>
      <c r="X6" s="13">
        <v>750</v>
      </c>
      <c r="Y6" s="13">
        <v>734</v>
      </c>
      <c r="Z6" s="13">
        <v>737</v>
      </c>
      <c r="AA6" s="13">
        <v>762</v>
      </c>
      <c r="AB6" s="13">
        <v>732</v>
      </c>
      <c r="AC6" s="13">
        <v>687</v>
      </c>
      <c r="AD6" s="13">
        <v>758</v>
      </c>
      <c r="AE6" s="13">
        <v>715</v>
      </c>
      <c r="AF6" s="13">
        <v>641</v>
      </c>
      <c r="AG6" s="13">
        <v>736</v>
      </c>
      <c r="AH6" s="13">
        <v>681</v>
      </c>
      <c r="AI6" s="13">
        <v>820</v>
      </c>
      <c r="AJ6" s="13">
        <v>657</v>
      </c>
      <c r="AK6" s="13">
        <v>667</v>
      </c>
      <c r="AL6" s="13">
        <v>792</v>
      </c>
      <c r="AM6" s="13">
        <v>693</v>
      </c>
      <c r="AN6" s="13">
        <v>865</v>
      </c>
      <c r="AO6" s="13">
        <v>764</v>
      </c>
      <c r="AP6" s="13">
        <v>625</v>
      </c>
      <c r="AQ6" s="13">
        <v>646</v>
      </c>
      <c r="AR6" s="13">
        <v>630</v>
      </c>
      <c r="AS6" s="13">
        <v>687</v>
      </c>
      <c r="AT6" s="13">
        <v>638</v>
      </c>
      <c r="AU6" s="13">
        <v>531</v>
      </c>
      <c r="AV6" s="13">
        <v>567</v>
      </c>
      <c r="AW6" s="13">
        <v>702</v>
      </c>
      <c r="AX6" s="13">
        <v>646</v>
      </c>
      <c r="AY6" s="13">
        <v>547</v>
      </c>
      <c r="AZ6" s="13">
        <v>759</v>
      </c>
      <c r="BA6" s="13">
        <v>582</v>
      </c>
      <c r="BB6" s="13">
        <v>437</v>
      </c>
    </row>
    <row r="7" spans="1:55" x14ac:dyDescent="0.2">
      <c r="A7" s="12"/>
      <c r="B7" s="15" t="s">
        <v>183</v>
      </c>
      <c r="C7" s="13">
        <v>2680</v>
      </c>
      <c r="D7" s="13">
        <v>2537</v>
      </c>
      <c r="E7" s="13">
        <v>2346</v>
      </c>
      <c r="F7" s="13">
        <v>2737</v>
      </c>
      <c r="G7" s="13">
        <v>2556</v>
      </c>
      <c r="H7" s="13">
        <v>2596</v>
      </c>
      <c r="I7" s="13">
        <v>2742</v>
      </c>
      <c r="J7" s="13">
        <v>2752</v>
      </c>
      <c r="K7" s="13">
        <v>2653</v>
      </c>
      <c r="L7" s="13">
        <v>2583</v>
      </c>
      <c r="M7" s="13">
        <v>2520</v>
      </c>
      <c r="N7" s="13">
        <v>2598</v>
      </c>
      <c r="O7" s="13">
        <v>2615</v>
      </c>
      <c r="P7" s="13">
        <v>2473</v>
      </c>
      <c r="Q7" s="13">
        <v>2581</v>
      </c>
      <c r="R7" s="13">
        <v>2539</v>
      </c>
      <c r="S7" s="13">
        <v>2418</v>
      </c>
      <c r="T7" s="13">
        <v>2358</v>
      </c>
      <c r="U7" s="13">
        <v>2306</v>
      </c>
      <c r="V7" s="13">
        <v>2396</v>
      </c>
      <c r="W7" s="13">
        <v>2496</v>
      </c>
      <c r="X7" s="13">
        <v>2444</v>
      </c>
      <c r="Y7" s="13">
        <v>2451</v>
      </c>
      <c r="Z7" s="13">
        <v>2305</v>
      </c>
      <c r="AA7" s="13">
        <v>2463</v>
      </c>
      <c r="AB7" s="13">
        <v>2495</v>
      </c>
      <c r="AC7" s="13">
        <v>2426</v>
      </c>
      <c r="AD7" s="13">
        <v>2546</v>
      </c>
      <c r="AE7" s="13">
        <v>2579</v>
      </c>
      <c r="AF7" s="13">
        <v>2448</v>
      </c>
      <c r="AG7" s="13">
        <v>2320</v>
      </c>
      <c r="AH7" s="13">
        <v>2564</v>
      </c>
      <c r="AI7" s="13">
        <v>2348</v>
      </c>
      <c r="AJ7" s="13">
        <v>1896</v>
      </c>
      <c r="AK7" s="13">
        <v>2132</v>
      </c>
      <c r="AL7" s="13">
        <v>2354</v>
      </c>
      <c r="AM7" s="13">
        <v>2194</v>
      </c>
      <c r="AN7" s="13">
        <v>2362</v>
      </c>
      <c r="AO7" s="13">
        <v>2246</v>
      </c>
      <c r="AP7" s="13">
        <v>2300</v>
      </c>
      <c r="AQ7" s="13">
        <v>2265</v>
      </c>
      <c r="AR7" s="13">
        <v>2437</v>
      </c>
      <c r="AS7" s="13">
        <v>2271</v>
      </c>
      <c r="AT7" s="13">
        <v>2273</v>
      </c>
      <c r="AU7" s="13">
        <v>2240</v>
      </c>
      <c r="AV7" s="13">
        <v>2256</v>
      </c>
      <c r="AW7" s="13">
        <v>2453</v>
      </c>
      <c r="AX7" s="13">
        <v>2580</v>
      </c>
      <c r="AY7" s="13">
        <v>2539</v>
      </c>
      <c r="AZ7" s="13">
        <v>2421</v>
      </c>
      <c r="BA7" s="13">
        <v>2566</v>
      </c>
      <c r="BB7" s="13">
        <v>2495</v>
      </c>
    </row>
    <row r="8" spans="1:55" x14ac:dyDescent="0.2">
      <c r="A8" s="12"/>
      <c r="B8" s="15"/>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row>
    <row r="9" spans="1:55" x14ac:dyDescent="0.2">
      <c r="A9" s="16" t="s">
        <v>184</v>
      </c>
      <c r="B9" s="12"/>
      <c r="C9" s="11">
        <v>16441</v>
      </c>
      <c r="D9" s="11">
        <v>14861</v>
      </c>
      <c r="E9" s="11">
        <v>14457</v>
      </c>
      <c r="F9" s="11">
        <v>16778</v>
      </c>
      <c r="G9" s="11">
        <v>17584</v>
      </c>
      <c r="H9" s="11">
        <v>18213</v>
      </c>
      <c r="I9" s="11">
        <v>17064</v>
      </c>
      <c r="J9" s="11">
        <v>17958</v>
      </c>
      <c r="K9" s="11">
        <v>16704</v>
      </c>
      <c r="L9" s="11">
        <v>16631</v>
      </c>
      <c r="M9" s="11">
        <v>17189</v>
      </c>
      <c r="N9" s="11">
        <v>16934</v>
      </c>
      <c r="O9" s="11">
        <v>16115</v>
      </c>
      <c r="P9" s="11">
        <v>16674</v>
      </c>
      <c r="Q9" s="11">
        <v>16071</v>
      </c>
      <c r="R9" s="11">
        <v>16276</v>
      </c>
      <c r="S9" s="11">
        <v>16523</v>
      </c>
      <c r="T9" s="11">
        <v>16071</v>
      </c>
      <c r="U9" s="11">
        <v>17476</v>
      </c>
      <c r="V9" s="11">
        <v>17191</v>
      </c>
      <c r="W9" s="11">
        <v>15299</v>
      </c>
      <c r="X9" s="11">
        <v>14906</v>
      </c>
      <c r="Y9" s="11">
        <v>15549</v>
      </c>
      <c r="Z9" s="11">
        <v>15726</v>
      </c>
      <c r="AA9" s="11">
        <v>14846</v>
      </c>
      <c r="AB9" s="11">
        <v>15774</v>
      </c>
      <c r="AC9" s="11">
        <v>16591</v>
      </c>
      <c r="AD9" s="11">
        <v>16200</v>
      </c>
      <c r="AE9" s="11">
        <v>15960</v>
      </c>
      <c r="AF9" s="11">
        <v>15384</v>
      </c>
      <c r="AG9" s="11">
        <v>16591</v>
      </c>
      <c r="AH9" s="11">
        <v>16141</v>
      </c>
      <c r="AI9" s="11">
        <v>16624</v>
      </c>
      <c r="AJ9" s="11">
        <v>12926</v>
      </c>
      <c r="AK9" s="11">
        <v>15502</v>
      </c>
      <c r="AL9" s="11">
        <v>15069</v>
      </c>
      <c r="AM9" s="11">
        <v>15452</v>
      </c>
      <c r="AN9" s="11">
        <v>15957</v>
      </c>
      <c r="AO9" s="11">
        <v>15505</v>
      </c>
      <c r="AP9" s="11">
        <v>15590</v>
      </c>
      <c r="AQ9" s="11">
        <v>16140</v>
      </c>
      <c r="AR9" s="11">
        <v>15500</v>
      </c>
      <c r="AS9" s="11">
        <v>15869</v>
      </c>
      <c r="AT9" s="11">
        <v>16579</v>
      </c>
      <c r="AU9" s="11">
        <v>16508</v>
      </c>
      <c r="AV9" s="11">
        <v>16823</v>
      </c>
      <c r="AW9" s="11">
        <v>16942</v>
      </c>
      <c r="AX9" s="11">
        <v>16338</v>
      </c>
      <c r="AY9" s="11">
        <v>16611</v>
      </c>
      <c r="AZ9" s="11">
        <v>16417</v>
      </c>
      <c r="BA9" s="11">
        <v>16374</v>
      </c>
      <c r="BB9" s="11">
        <v>14535</v>
      </c>
    </row>
    <row r="10" spans="1:55" x14ac:dyDescent="0.2">
      <c r="A10" s="12"/>
      <c r="B10" s="15" t="s">
        <v>185</v>
      </c>
      <c r="C10" s="13">
        <v>8715</v>
      </c>
      <c r="D10" s="13">
        <v>7667</v>
      </c>
      <c r="E10" s="13">
        <v>7485</v>
      </c>
      <c r="F10" s="13">
        <v>8607</v>
      </c>
      <c r="G10" s="13">
        <v>9557</v>
      </c>
      <c r="H10" s="13">
        <v>9966</v>
      </c>
      <c r="I10" s="13">
        <v>9036</v>
      </c>
      <c r="J10" s="13">
        <v>9698</v>
      </c>
      <c r="K10" s="13">
        <v>9376</v>
      </c>
      <c r="L10" s="13">
        <v>9202</v>
      </c>
      <c r="M10" s="13">
        <v>9420</v>
      </c>
      <c r="N10" s="13">
        <v>9238</v>
      </c>
      <c r="O10" s="13">
        <v>8716</v>
      </c>
      <c r="P10" s="13">
        <v>9039</v>
      </c>
      <c r="Q10" s="13">
        <v>8343</v>
      </c>
      <c r="R10" s="13">
        <v>8635</v>
      </c>
      <c r="S10" s="13">
        <v>8669</v>
      </c>
      <c r="T10" s="13">
        <v>8629</v>
      </c>
      <c r="U10" s="13">
        <v>9478</v>
      </c>
      <c r="V10" s="13">
        <v>9456</v>
      </c>
      <c r="W10" s="13">
        <v>7979</v>
      </c>
      <c r="X10" s="13">
        <v>7737</v>
      </c>
      <c r="Y10" s="13">
        <v>8506</v>
      </c>
      <c r="Z10" s="13">
        <v>8357</v>
      </c>
      <c r="AA10" s="13">
        <v>8091</v>
      </c>
      <c r="AB10" s="13">
        <v>8558</v>
      </c>
      <c r="AC10" s="13">
        <v>9257</v>
      </c>
      <c r="AD10" s="13">
        <v>8959</v>
      </c>
      <c r="AE10" s="13">
        <v>8830</v>
      </c>
      <c r="AF10" s="13">
        <v>8546</v>
      </c>
      <c r="AG10" s="13">
        <v>9066</v>
      </c>
      <c r="AH10" s="13">
        <v>8801</v>
      </c>
      <c r="AI10" s="13">
        <v>8864</v>
      </c>
      <c r="AJ10" s="13">
        <v>6998</v>
      </c>
      <c r="AK10" s="13">
        <v>8237</v>
      </c>
      <c r="AL10" s="13">
        <v>8281</v>
      </c>
      <c r="AM10" s="13">
        <v>8536</v>
      </c>
      <c r="AN10" s="13">
        <v>8711</v>
      </c>
      <c r="AO10" s="13">
        <v>8308</v>
      </c>
      <c r="AP10" s="13">
        <v>7785</v>
      </c>
      <c r="AQ10" s="13">
        <v>8203</v>
      </c>
      <c r="AR10" s="13">
        <v>7737</v>
      </c>
      <c r="AS10" s="13">
        <v>7910</v>
      </c>
      <c r="AT10" s="13">
        <v>8588</v>
      </c>
      <c r="AU10" s="13">
        <v>8459</v>
      </c>
      <c r="AV10" s="13">
        <v>9081</v>
      </c>
      <c r="AW10" s="13">
        <v>9072</v>
      </c>
      <c r="AX10" s="13">
        <v>8286</v>
      </c>
      <c r="AY10" s="13">
        <v>9163</v>
      </c>
      <c r="AZ10" s="13">
        <v>8327</v>
      </c>
      <c r="BA10" s="13">
        <v>8470</v>
      </c>
      <c r="BB10" s="13">
        <v>7586</v>
      </c>
    </row>
    <row r="11" spans="1:55" x14ac:dyDescent="0.2">
      <c r="A11" s="12"/>
      <c r="B11" s="15" t="s">
        <v>186</v>
      </c>
      <c r="C11" s="13">
        <v>6568</v>
      </c>
      <c r="D11" s="13">
        <v>6175</v>
      </c>
      <c r="E11" s="13">
        <v>5969</v>
      </c>
      <c r="F11" s="13">
        <v>6988</v>
      </c>
      <c r="G11" s="13">
        <v>6905</v>
      </c>
      <c r="H11" s="13">
        <v>7149</v>
      </c>
      <c r="I11" s="13">
        <v>6941</v>
      </c>
      <c r="J11" s="13">
        <v>6811</v>
      </c>
      <c r="K11" s="13">
        <v>6300</v>
      </c>
      <c r="L11" s="13">
        <v>6282</v>
      </c>
      <c r="M11" s="13">
        <v>6454</v>
      </c>
      <c r="N11" s="13">
        <v>6465</v>
      </c>
      <c r="O11" s="13">
        <v>6353</v>
      </c>
      <c r="P11" s="13">
        <v>6286</v>
      </c>
      <c r="Q11" s="13">
        <v>6574</v>
      </c>
      <c r="R11" s="13">
        <v>6435</v>
      </c>
      <c r="S11" s="13">
        <v>6434</v>
      </c>
      <c r="T11" s="13">
        <v>6325</v>
      </c>
      <c r="U11" s="13">
        <v>6315</v>
      </c>
      <c r="V11" s="13">
        <v>6414</v>
      </c>
      <c r="W11" s="13">
        <v>6056</v>
      </c>
      <c r="X11" s="13">
        <v>5920</v>
      </c>
      <c r="Y11" s="13">
        <v>5998</v>
      </c>
      <c r="Z11" s="13">
        <v>6411</v>
      </c>
      <c r="AA11" s="13">
        <v>5972</v>
      </c>
      <c r="AB11" s="13">
        <v>6355</v>
      </c>
      <c r="AC11" s="13">
        <v>6142</v>
      </c>
      <c r="AD11" s="13">
        <v>6128</v>
      </c>
      <c r="AE11" s="13">
        <v>6176</v>
      </c>
      <c r="AF11" s="13">
        <v>5831</v>
      </c>
      <c r="AG11" s="13">
        <v>6299</v>
      </c>
      <c r="AH11" s="13">
        <v>6193</v>
      </c>
      <c r="AI11" s="13">
        <v>6583</v>
      </c>
      <c r="AJ11" s="13">
        <v>4906</v>
      </c>
      <c r="AK11" s="13">
        <v>6259</v>
      </c>
      <c r="AL11" s="13">
        <v>5816</v>
      </c>
      <c r="AM11" s="13">
        <v>5765</v>
      </c>
      <c r="AN11" s="13">
        <v>6091</v>
      </c>
      <c r="AO11" s="13">
        <v>6275</v>
      </c>
      <c r="AP11" s="13">
        <v>6570</v>
      </c>
      <c r="AQ11" s="13">
        <v>6650</v>
      </c>
      <c r="AR11" s="13">
        <v>6529</v>
      </c>
      <c r="AS11" s="13">
        <v>6468</v>
      </c>
      <c r="AT11" s="13">
        <v>6597</v>
      </c>
      <c r="AU11" s="13">
        <v>7025</v>
      </c>
      <c r="AV11" s="13">
        <v>6646</v>
      </c>
      <c r="AW11" s="13">
        <v>6529</v>
      </c>
      <c r="AX11" s="13">
        <v>6645</v>
      </c>
      <c r="AY11" s="13">
        <v>6148</v>
      </c>
      <c r="AZ11" s="13">
        <v>6545</v>
      </c>
      <c r="BA11" s="13">
        <v>6626</v>
      </c>
      <c r="BB11" s="13">
        <v>6161</v>
      </c>
    </row>
    <row r="12" spans="1:55" x14ac:dyDescent="0.2">
      <c r="A12" s="12"/>
      <c r="B12" s="15" t="s">
        <v>187</v>
      </c>
      <c r="C12" s="13">
        <v>1158</v>
      </c>
      <c r="D12" s="13">
        <v>1019</v>
      </c>
      <c r="E12" s="13">
        <v>1003</v>
      </c>
      <c r="F12" s="13">
        <v>1183</v>
      </c>
      <c r="G12" s="13">
        <v>1122</v>
      </c>
      <c r="H12" s="13">
        <v>1098</v>
      </c>
      <c r="I12" s="13">
        <v>1087</v>
      </c>
      <c r="J12" s="13">
        <v>1449</v>
      </c>
      <c r="K12" s="13">
        <v>1028</v>
      </c>
      <c r="L12" s="13">
        <v>1147</v>
      </c>
      <c r="M12" s="13">
        <v>1315</v>
      </c>
      <c r="N12" s="13">
        <v>1231</v>
      </c>
      <c r="O12" s="13">
        <v>1046</v>
      </c>
      <c r="P12" s="13">
        <v>1349</v>
      </c>
      <c r="Q12" s="13">
        <v>1154</v>
      </c>
      <c r="R12" s="13">
        <v>1206</v>
      </c>
      <c r="S12" s="13">
        <v>1420</v>
      </c>
      <c r="T12" s="13">
        <v>1117</v>
      </c>
      <c r="U12" s="13">
        <v>1683</v>
      </c>
      <c r="V12" s="13">
        <v>1321</v>
      </c>
      <c r="W12" s="13">
        <v>1264</v>
      </c>
      <c r="X12" s="13">
        <v>1249</v>
      </c>
      <c r="Y12" s="13">
        <v>1045</v>
      </c>
      <c r="Z12" s="13">
        <v>958</v>
      </c>
      <c r="AA12" s="13">
        <v>783</v>
      </c>
      <c r="AB12" s="13">
        <v>861</v>
      </c>
      <c r="AC12" s="13">
        <v>1192</v>
      </c>
      <c r="AD12" s="13">
        <v>1113</v>
      </c>
      <c r="AE12" s="13">
        <v>954</v>
      </c>
      <c r="AF12" s="13">
        <v>1007</v>
      </c>
      <c r="AG12" s="13">
        <v>1226</v>
      </c>
      <c r="AH12" s="13">
        <v>1147</v>
      </c>
      <c r="AI12" s="13">
        <v>1177</v>
      </c>
      <c r="AJ12" s="13">
        <v>1022</v>
      </c>
      <c r="AK12" s="13">
        <v>1006</v>
      </c>
      <c r="AL12" s="13">
        <v>972</v>
      </c>
      <c r="AM12" s="13">
        <v>1151</v>
      </c>
      <c r="AN12" s="13">
        <v>1155</v>
      </c>
      <c r="AO12" s="13">
        <v>922</v>
      </c>
      <c r="AP12" s="13">
        <v>1235</v>
      </c>
      <c r="AQ12" s="13">
        <v>1287</v>
      </c>
      <c r="AR12" s="13">
        <v>1234</v>
      </c>
      <c r="AS12" s="13">
        <v>1491</v>
      </c>
      <c r="AT12" s="13">
        <v>1394</v>
      </c>
      <c r="AU12" s="13">
        <v>1024</v>
      </c>
      <c r="AV12" s="13">
        <v>1096</v>
      </c>
      <c r="AW12" s="13">
        <v>1341</v>
      </c>
      <c r="AX12" s="13">
        <v>1407</v>
      </c>
      <c r="AY12" s="13">
        <v>1300</v>
      </c>
      <c r="AZ12" s="13">
        <v>1545</v>
      </c>
      <c r="BA12" s="13">
        <v>1278</v>
      </c>
      <c r="BB12" s="13">
        <v>788</v>
      </c>
    </row>
    <row r="13" spans="1:55" x14ac:dyDescent="0.2">
      <c r="A13" s="12"/>
      <c r="B13" s="15"/>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row>
    <row r="14" spans="1:55" x14ac:dyDescent="0.2">
      <c r="A14" s="9" t="s">
        <v>188</v>
      </c>
      <c r="B14" s="17"/>
      <c r="C14" s="11">
        <v>15902</v>
      </c>
      <c r="D14" s="11">
        <v>17280</v>
      </c>
      <c r="E14" s="11">
        <v>14486</v>
      </c>
      <c r="F14" s="11">
        <v>16414</v>
      </c>
      <c r="G14" s="11">
        <v>16218</v>
      </c>
      <c r="H14" s="11">
        <v>16094</v>
      </c>
      <c r="I14" s="11">
        <v>16828</v>
      </c>
      <c r="J14" s="11">
        <v>18889</v>
      </c>
      <c r="K14" s="11">
        <v>14696</v>
      </c>
      <c r="L14" s="11">
        <v>17167</v>
      </c>
      <c r="M14" s="11">
        <v>17787</v>
      </c>
      <c r="N14" s="11">
        <v>17645</v>
      </c>
      <c r="O14" s="11">
        <v>17463</v>
      </c>
      <c r="P14" s="11">
        <v>17448</v>
      </c>
      <c r="Q14" s="11">
        <v>17005</v>
      </c>
      <c r="R14" s="11">
        <v>18472</v>
      </c>
      <c r="S14" s="11">
        <v>16276</v>
      </c>
      <c r="T14" s="11">
        <v>16528</v>
      </c>
      <c r="U14" s="11">
        <v>18273</v>
      </c>
      <c r="V14" s="11">
        <v>17673</v>
      </c>
      <c r="W14" s="11">
        <v>16010</v>
      </c>
      <c r="X14" s="11">
        <v>18049</v>
      </c>
      <c r="Y14" s="11">
        <v>17087</v>
      </c>
      <c r="Z14" s="11">
        <v>16561</v>
      </c>
      <c r="AA14" s="11">
        <v>15844</v>
      </c>
      <c r="AB14" s="11">
        <v>18400</v>
      </c>
      <c r="AC14" s="11">
        <v>19228</v>
      </c>
      <c r="AD14" s="11">
        <v>17304</v>
      </c>
      <c r="AE14" s="11">
        <v>17685</v>
      </c>
      <c r="AF14" s="11">
        <v>16436</v>
      </c>
      <c r="AG14" s="11">
        <v>18628</v>
      </c>
      <c r="AH14" s="11">
        <v>17127</v>
      </c>
      <c r="AI14" s="11">
        <v>13618</v>
      </c>
      <c r="AJ14" s="11">
        <v>13568</v>
      </c>
      <c r="AK14" s="11">
        <v>17927</v>
      </c>
      <c r="AL14" s="11">
        <v>18038</v>
      </c>
      <c r="AM14" s="11">
        <v>15247</v>
      </c>
      <c r="AN14" s="11">
        <v>16476</v>
      </c>
      <c r="AO14" s="11">
        <v>17625</v>
      </c>
      <c r="AP14" s="11">
        <v>17506</v>
      </c>
      <c r="AQ14" s="11">
        <v>18101</v>
      </c>
      <c r="AR14" s="11">
        <v>16407</v>
      </c>
      <c r="AS14" s="11">
        <v>18797</v>
      </c>
      <c r="AT14" s="11">
        <v>17685</v>
      </c>
      <c r="AU14" s="11">
        <v>17315</v>
      </c>
      <c r="AV14" s="11">
        <v>16768</v>
      </c>
      <c r="AW14" s="11">
        <v>16580</v>
      </c>
      <c r="AX14" s="11">
        <v>16679</v>
      </c>
      <c r="AY14" s="11">
        <v>15519</v>
      </c>
      <c r="AZ14" s="11">
        <v>15967</v>
      </c>
      <c r="BA14" s="11">
        <v>16226</v>
      </c>
      <c r="BB14" s="11">
        <v>15698</v>
      </c>
    </row>
    <row r="15" spans="1:55" x14ac:dyDescent="0.2">
      <c r="A15" s="12"/>
      <c r="B15" s="15" t="s">
        <v>189</v>
      </c>
      <c r="C15" s="13">
        <v>1386</v>
      </c>
      <c r="D15" s="13">
        <v>2512</v>
      </c>
      <c r="E15" s="13">
        <v>1332</v>
      </c>
      <c r="F15" s="13">
        <v>2155</v>
      </c>
      <c r="G15" s="13">
        <v>2354</v>
      </c>
      <c r="H15" s="13">
        <v>2314</v>
      </c>
      <c r="I15" s="13">
        <v>2425</v>
      </c>
      <c r="J15" s="13">
        <v>2852</v>
      </c>
      <c r="K15" s="13">
        <v>2313</v>
      </c>
      <c r="L15" s="13">
        <v>2361</v>
      </c>
      <c r="M15" s="13">
        <v>2489</v>
      </c>
      <c r="N15" s="13">
        <v>2456</v>
      </c>
      <c r="O15" s="13">
        <v>2579</v>
      </c>
      <c r="P15" s="13">
        <v>2547</v>
      </c>
      <c r="Q15" s="13">
        <v>3052</v>
      </c>
      <c r="R15" s="13">
        <v>3262</v>
      </c>
      <c r="S15" s="13">
        <v>2986</v>
      </c>
      <c r="T15" s="13">
        <v>2506</v>
      </c>
      <c r="U15" s="13">
        <v>3150</v>
      </c>
      <c r="V15" s="13">
        <v>3276</v>
      </c>
      <c r="W15" s="13">
        <v>2670</v>
      </c>
      <c r="X15" s="13">
        <v>2983</v>
      </c>
      <c r="Y15" s="13">
        <v>3628</v>
      </c>
      <c r="Z15" s="13">
        <v>3144</v>
      </c>
      <c r="AA15" s="13">
        <v>2821</v>
      </c>
      <c r="AB15" s="13">
        <v>3387</v>
      </c>
      <c r="AC15" s="13">
        <v>3220</v>
      </c>
      <c r="AD15" s="13">
        <v>2863</v>
      </c>
      <c r="AE15" s="13">
        <v>3212</v>
      </c>
      <c r="AF15" s="13">
        <v>3188</v>
      </c>
      <c r="AG15" s="13">
        <v>3169</v>
      </c>
      <c r="AH15" s="13">
        <v>3436</v>
      </c>
      <c r="AI15" s="13">
        <v>3385</v>
      </c>
      <c r="AJ15" s="13">
        <v>2049</v>
      </c>
      <c r="AK15" s="13">
        <v>3153</v>
      </c>
      <c r="AL15" s="13">
        <v>3243</v>
      </c>
      <c r="AM15" s="13">
        <v>2558</v>
      </c>
      <c r="AN15" s="13">
        <v>2999</v>
      </c>
      <c r="AO15" s="13">
        <v>2865</v>
      </c>
      <c r="AP15" s="13">
        <v>3094</v>
      </c>
      <c r="AQ15" s="13">
        <v>2710</v>
      </c>
      <c r="AR15" s="13">
        <v>3271</v>
      </c>
      <c r="AS15" s="13">
        <v>2952</v>
      </c>
      <c r="AT15" s="13">
        <v>2896</v>
      </c>
      <c r="AU15" s="13">
        <v>2417</v>
      </c>
      <c r="AV15" s="13">
        <v>2533</v>
      </c>
      <c r="AW15" s="13">
        <v>2312</v>
      </c>
      <c r="AX15" s="13">
        <v>1947</v>
      </c>
      <c r="AY15" s="13">
        <v>2107</v>
      </c>
      <c r="AZ15" s="13">
        <v>1865</v>
      </c>
      <c r="BA15" s="13">
        <v>2318</v>
      </c>
      <c r="BB15" s="13">
        <v>2003</v>
      </c>
    </row>
    <row r="16" spans="1:55" x14ac:dyDescent="0.2">
      <c r="A16" s="12"/>
      <c r="B16" s="15" t="s">
        <v>190</v>
      </c>
      <c r="C16" s="13">
        <v>1574</v>
      </c>
      <c r="D16" s="13">
        <v>1409</v>
      </c>
      <c r="E16" s="13">
        <v>1404</v>
      </c>
      <c r="F16" s="13">
        <v>1501</v>
      </c>
      <c r="G16" s="13">
        <v>1445</v>
      </c>
      <c r="H16" s="13">
        <v>1565</v>
      </c>
      <c r="I16" s="13">
        <v>1445</v>
      </c>
      <c r="J16" s="13">
        <v>1559</v>
      </c>
      <c r="K16" s="13">
        <v>1641</v>
      </c>
      <c r="L16" s="13">
        <v>1651</v>
      </c>
      <c r="M16" s="13">
        <v>1720</v>
      </c>
      <c r="N16" s="13">
        <v>1841</v>
      </c>
      <c r="O16" s="13">
        <v>1824</v>
      </c>
      <c r="P16" s="13">
        <v>1514</v>
      </c>
      <c r="Q16" s="13">
        <v>1461</v>
      </c>
      <c r="R16" s="13">
        <v>1382</v>
      </c>
      <c r="S16" s="13">
        <v>1624</v>
      </c>
      <c r="T16" s="13">
        <v>1454</v>
      </c>
      <c r="U16" s="13">
        <v>1434</v>
      </c>
      <c r="V16" s="13">
        <v>1526</v>
      </c>
      <c r="W16" s="13">
        <v>1371</v>
      </c>
      <c r="X16" s="13">
        <v>1590</v>
      </c>
      <c r="Y16" s="13">
        <v>1372</v>
      </c>
      <c r="Z16" s="13">
        <v>1363</v>
      </c>
      <c r="AA16" s="13">
        <v>1470</v>
      </c>
      <c r="AB16" s="13">
        <v>1432</v>
      </c>
      <c r="AC16" s="13">
        <v>1377</v>
      </c>
      <c r="AD16" s="13">
        <v>1284</v>
      </c>
      <c r="AE16" s="13">
        <v>1333</v>
      </c>
      <c r="AF16" s="13">
        <v>1419</v>
      </c>
      <c r="AG16" s="13">
        <v>1484</v>
      </c>
      <c r="AH16" s="13">
        <v>1371</v>
      </c>
      <c r="AI16" s="13">
        <v>1289</v>
      </c>
      <c r="AJ16" s="13">
        <v>1020</v>
      </c>
      <c r="AK16" s="13">
        <v>1262</v>
      </c>
      <c r="AL16" s="13">
        <v>1338</v>
      </c>
      <c r="AM16" s="13">
        <v>1429</v>
      </c>
      <c r="AN16" s="13">
        <v>1407</v>
      </c>
      <c r="AO16" s="13">
        <v>1519</v>
      </c>
      <c r="AP16" s="13">
        <v>1427</v>
      </c>
      <c r="AQ16" s="13">
        <v>1374</v>
      </c>
      <c r="AR16" s="13">
        <v>1265</v>
      </c>
      <c r="AS16" s="13">
        <v>1480</v>
      </c>
      <c r="AT16" s="13">
        <v>1366</v>
      </c>
      <c r="AU16" s="13">
        <v>1293</v>
      </c>
      <c r="AV16" s="13">
        <v>1314</v>
      </c>
      <c r="AW16" s="13">
        <v>1442</v>
      </c>
      <c r="AX16" s="13">
        <v>1441</v>
      </c>
      <c r="AY16" s="13">
        <v>1377</v>
      </c>
      <c r="AZ16" s="13">
        <v>1497</v>
      </c>
      <c r="BA16" s="13">
        <v>1728</v>
      </c>
      <c r="BB16" s="13">
        <v>1445</v>
      </c>
    </row>
    <row r="17" spans="1:54" x14ac:dyDescent="0.2">
      <c r="A17" s="12"/>
      <c r="B17" s="15" t="s">
        <v>191</v>
      </c>
      <c r="C17" s="13">
        <v>11612</v>
      </c>
      <c r="D17" s="13">
        <v>11606</v>
      </c>
      <c r="E17" s="13">
        <v>10182</v>
      </c>
      <c r="F17" s="13">
        <v>11074</v>
      </c>
      <c r="G17" s="13">
        <v>10788</v>
      </c>
      <c r="H17" s="13">
        <v>10515</v>
      </c>
      <c r="I17" s="13">
        <v>11126</v>
      </c>
      <c r="J17" s="13">
        <v>12754</v>
      </c>
      <c r="K17" s="13">
        <v>8890</v>
      </c>
      <c r="L17" s="13">
        <v>11416</v>
      </c>
      <c r="M17" s="13">
        <v>11621</v>
      </c>
      <c r="N17" s="13">
        <v>11494</v>
      </c>
      <c r="O17" s="13">
        <v>11407</v>
      </c>
      <c r="P17" s="13">
        <v>11653</v>
      </c>
      <c r="Q17" s="13">
        <v>10385</v>
      </c>
      <c r="R17" s="13">
        <v>11919</v>
      </c>
      <c r="S17" s="13">
        <v>9719</v>
      </c>
      <c r="T17" s="13">
        <v>10608</v>
      </c>
      <c r="U17" s="13">
        <v>11570</v>
      </c>
      <c r="V17" s="13">
        <v>10750</v>
      </c>
      <c r="W17" s="13">
        <v>10126</v>
      </c>
      <c r="X17" s="13">
        <v>11561</v>
      </c>
      <c r="Y17" s="13">
        <v>10113</v>
      </c>
      <c r="Z17" s="13">
        <v>9966</v>
      </c>
      <c r="AA17" s="13">
        <v>9567</v>
      </c>
      <c r="AB17" s="13">
        <v>11753</v>
      </c>
      <c r="AC17" s="13">
        <v>13045</v>
      </c>
      <c r="AD17" s="13">
        <v>11353</v>
      </c>
      <c r="AE17" s="13">
        <v>11179</v>
      </c>
      <c r="AF17" s="13">
        <v>10041</v>
      </c>
      <c r="AG17" s="13">
        <v>12113</v>
      </c>
      <c r="AH17" s="13">
        <v>10526</v>
      </c>
      <c r="AI17" s="13">
        <v>6605</v>
      </c>
      <c r="AJ17" s="13">
        <v>8783</v>
      </c>
      <c r="AK17" s="13">
        <v>11496</v>
      </c>
      <c r="AL17" s="13">
        <v>11636</v>
      </c>
      <c r="AM17" s="13">
        <v>9135</v>
      </c>
      <c r="AN17" s="13">
        <v>10095</v>
      </c>
      <c r="AO17" s="13">
        <v>11231</v>
      </c>
      <c r="AP17" s="13">
        <v>11030</v>
      </c>
      <c r="AQ17" s="13">
        <v>11977</v>
      </c>
      <c r="AR17" s="13">
        <v>9839</v>
      </c>
      <c r="AS17" s="13">
        <v>12164</v>
      </c>
      <c r="AT17" s="13">
        <v>11407</v>
      </c>
      <c r="AU17" s="13">
        <v>11879</v>
      </c>
      <c r="AV17" s="13">
        <v>10994</v>
      </c>
      <c r="AW17" s="13">
        <v>10897</v>
      </c>
      <c r="AX17" s="13">
        <v>11483</v>
      </c>
      <c r="AY17" s="13">
        <v>10474</v>
      </c>
      <c r="AZ17" s="13">
        <v>10910</v>
      </c>
      <c r="BA17" s="13">
        <v>10480</v>
      </c>
      <c r="BB17" s="13">
        <v>11078</v>
      </c>
    </row>
    <row r="18" spans="1:54" x14ac:dyDescent="0.2">
      <c r="A18" s="12"/>
      <c r="B18" s="15" t="s">
        <v>192</v>
      </c>
      <c r="C18" s="13">
        <v>615</v>
      </c>
      <c r="D18" s="13">
        <v>751</v>
      </c>
      <c r="E18" s="13">
        <v>700</v>
      </c>
      <c r="F18" s="13">
        <v>811</v>
      </c>
      <c r="G18" s="13">
        <v>693</v>
      </c>
      <c r="H18" s="13">
        <v>798</v>
      </c>
      <c r="I18" s="13">
        <v>775</v>
      </c>
      <c r="J18" s="13">
        <v>867</v>
      </c>
      <c r="K18" s="13">
        <v>870</v>
      </c>
      <c r="L18" s="13">
        <v>840</v>
      </c>
      <c r="M18" s="13">
        <v>884</v>
      </c>
      <c r="N18" s="13">
        <v>912</v>
      </c>
      <c r="O18" s="13">
        <v>805</v>
      </c>
      <c r="P18" s="13">
        <v>849</v>
      </c>
      <c r="Q18" s="13">
        <v>1027</v>
      </c>
      <c r="R18" s="13">
        <v>894</v>
      </c>
      <c r="S18" s="13">
        <v>918</v>
      </c>
      <c r="T18" s="13">
        <v>1023</v>
      </c>
      <c r="U18" s="13">
        <v>1067</v>
      </c>
      <c r="V18" s="13">
        <v>1117</v>
      </c>
      <c r="W18" s="13">
        <v>901</v>
      </c>
      <c r="X18" s="13">
        <v>845</v>
      </c>
      <c r="Y18" s="13">
        <v>1021</v>
      </c>
      <c r="Z18" s="13">
        <v>1068</v>
      </c>
      <c r="AA18" s="13">
        <v>879</v>
      </c>
      <c r="AB18" s="13">
        <v>756</v>
      </c>
      <c r="AC18" s="13">
        <v>767</v>
      </c>
      <c r="AD18" s="13">
        <v>819</v>
      </c>
      <c r="AE18" s="13">
        <v>856</v>
      </c>
      <c r="AF18" s="13">
        <v>757</v>
      </c>
      <c r="AG18" s="13">
        <v>780</v>
      </c>
      <c r="AH18" s="13">
        <v>834</v>
      </c>
      <c r="AI18" s="13">
        <v>1103</v>
      </c>
      <c r="AJ18" s="13">
        <v>881</v>
      </c>
      <c r="AK18" s="13">
        <v>930</v>
      </c>
      <c r="AL18" s="13">
        <v>911</v>
      </c>
      <c r="AM18" s="13">
        <v>1028</v>
      </c>
      <c r="AN18" s="13">
        <v>998</v>
      </c>
      <c r="AO18" s="13">
        <v>1025</v>
      </c>
      <c r="AP18" s="13">
        <v>1037</v>
      </c>
      <c r="AQ18" s="13">
        <v>908</v>
      </c>
      <c r="AR18" s="13">
        <v>1046</v>
      </c>
      <c r="AS18" s="13">
        <v>1174</v>
      </c>
      <c r="AT18" s="13">
        <v>1057</v>
      </c>
      <c r="AU18" s="13">
        <v>858</v>
      </c>
      <c r="AV18" s="13">
        <v>1007</v>
      </c>
      <c r="AW18" s="13">
        <v>1035</v>
      </c>
      <c r="AX18" s="13">
        <v>791</v>
      </c>
      <c r="AY18" s="13">
        <v>802</v>
      </c>
      <c r="AZ18" s="13">
        <v>846</v>
      </c>
      <c r="BA18" s="13">
        <v>799</v>
      </c>
      <c r="BB18" s="13">
        <v>658</v>
      </c>
    </row>
    <row r="19" spans="1:54" x14ac:dyDescent="0.2">
      <c r="A19" s="12"/>
      <c r="B19" s="15" t="s">
        <v>193</v>
      </c>
      <c r="C19" s="13">
        <v>499</v>
      </c>
      <c r="D19" s="13">
        <v>749</v>
      </c>
      <c r="E19" s="13">
        <v>644</v>
      </c>
      <c r="F19" s="13">
        <v>642</v>
      </c>
      <c r="G19" s="13">
        <v>734</v>
      </c>
      <c r="H19" s="13">
        <v>669</v>
      </c>
      <c r="I19" s="13">
        <v>782</v>
      </c>
      <c r="J19" s="13">
        <v>618</v>
      </c>
      <c r="K19" s="13">
        <v>752</v>
      </c>
      <c r="L19" s="13">
        <v>595</v>
      </c>
      <c r="M19" s="13">
        <v>751</v>
      </c>
      <c r="N19" s="13">
        <v>596</v>
      </c>
      <c r="O19" s="13">
        <v>598</v>
      </c>
      <c r="P19" s="13">
        <v>589</v>
      </c>
      <c r="Q19" s="13">
        <v>666</v>
      </c>
      <c r="R19" s="13">
        <v>656</v>
      </c>
      <c r="S19" s="13">
        <v>670</v>
      </c>
      <c r="T19" s="13">
        <v>621</v>
      </c>
      <c r="U19" s="13">
        <v>666</v>
      </c>
      <c r="V19" s="13">
        <v>642</v>
      </c>
      <c r="W19" s="13">
        <v>582</v>
      </c>
      <c r="X19" s="13">
        <v>746</v>
      </c>
      <c r="Y19" s="13">
        <v>615</v>
      </c>
      <c r="Z19" s="13">
        <v>693</v>
      </c>
      <c r="AA19" s="13">
        <v>711</v>
      </c>
      <c r="AB19" s="13">
        <v>678</v>
      </c>
      <c r="AC19" s="13">
        <v>557</v>
      </c>
      <c r="AD19" s="13">
        <v>604</v>
      </c>
      <c r="AE19" s="13">
        <v>699</v>
      </c>
      <c r="AF19" s="13">
        <v>616</v>
      </c>
      <c r="AG19" s="13">
        <v>670</v>
      </c>
      <c r="AH19" s="13">
        <v>551</v>
      </c>
      <c r="AI19" s="13">
        <v>788</v>
      </c>
      <c r="AJ19" s="13">
        <v>408</v>
      </c>
      <c r="AK19" s="13">
        <v>690</v>
      </c>
      <c r="AL19" s="13">
        <v>527</v>
      </c>
      <c r="AM19" s="13">
        <v>699</v>
      </c>
      <c r="AN19" s="13">
        <v>640</v>
      </c>
      <c r="AO19" s="13">
        <v>671</v>
      </c>
      <c r="AP19" s="13">
        <v>597</v>
      </c>
      <c r="AQ19" s="13">
        <v>755</v>
      </c>
      <c r="AR19" s="13">
        <v>641</v>
      </c>
      <c r="AS19" s="13">
        <v>676</v>
      </c>
      <c r="AT19" s="13">
        <v>684</v>
      </c>
      <c r="AU19" s="13">
        <v>620</v>
      </c>
      <c r="AV19" s="13">
        <v>640</v>
      </c>
      <c r="AW19" s="13">
        <v>700</v>
      </c>
      <c r="AX19" s="13">
        <v>779</v>
      </c>
      <c r="AY19" s="13">
        <v>544</v>
      </c>
      <c r="AZ19" s="13">
        <v>677</v>
      </c>
      <c r="BA19" s="13">
        <v>695</v>
      </c>
      <c r="BB19" s="13">
        <v>312</v>
      </c>
    </row>
    <row r="20" spans="1:54" x14ac:dyDescent="0.2">
      <c r="B20" s="12" t="s">
        <v>194</v>
      </c>
      <c r="C20" s="13">
        <v>216</v>
      </c>
      <c r="D20" s="13">
        <v>253</v>
      </c>
      <c r="E20" s="13">
        <v>224</v>
      </c>
      <c r="F20" s="13">
        <v>231</v>
      </c>
      <c r="G20" s="13">
        <v>204</v>
      </c>
      <c r="H20" s="13">
        <v>233</v>
      </c>
      <c r="I20" s="13">
        <v>275</v>
      </c>
      <c r="J20" s="13">
        <v>239</v>
      </c>
      <c r="K20" s="13">
        <v>230</v>
      </c>
      <c r="L20" s="13">
        <v>304</v>
      </c>
      <c r="M20" s="13">
        <v>322</v>
      </c>
      <c r="N20" s="13">
        <v>346</v>
      </c>
      <c r="O20" s="13">
        <v>250</v>
      </c>
      <c r="P20" s="13">
        <v>296</v>
      </c>
      <c r="Q20" s="13">
        <v>414</v>
      </c>
      <c r="R20" s="13">
        <v>359</v>
      </c>
      <c r="S20" s="13">
        <v>359</v>
      </c>
      <c r="T20" s="13">
        <v>316</v>
      </c>
      <c r="U20" s="13">
        <v>386</v>
      </c>
      <c r="V20" s="13">
        <v>362</v>
      </c>
      <c r="W20" s="13">
        <v>360</v>
      </c>
      <c r="X20" s="13">
        <v>324</v>
      </c>
      <c r="Y20" s="13">
        <v>338</v>
      </c>
      <c r="Z20" s="13">
        <v>327</v>
      </c>
      <c r="AA20" s="13">
        <v>396</v>
      </c>
      <c r="AB20" s="13">
        <v>394</v>
      </c>
      <c r="AC20" s="13">
        <v>262</v>
      </c>
      <c r="AD20" s="13">
        <v>381</v>
      </c>
      <c r="AE20" s="13">
        <v>406</v>
      </c>
      <c r="AF20" s="13">
        <v>415</v>
      </c>
      <c r="AG20" s="13">
        <v>412</v>
      </c>
      <c r="AH20" s="13">
        <v>409</v>
      </c>
      <c r="AI20" s="13">
        <v>448</v>
      </c>
      <c r="AJ20" s="13">
        <v>427</v>
      </c>
      <c r="AK20" s="13">
        <v>396</v>
      </c>
      <c r="AL20" s="13">
        <v>383</v>
      </c>
      <c r="AM20" s="13">
        <v>398</v>
      </c>
      <c r="AN20" s="13">
        <v>337</v>
      </c>
      <c r="AO20" s="13">
        <v>314</v>
      </c>
      <c r="AP20" s="13">
        <v>321</v>
      </c>
      <c r="AQ20" s="13">
        <v>377</v>
      </c>
      <c r="AR20" s="13">
        <v>345</v>
      </c>
      <c r="AS20" s="13">
        <v>351</v>
      </c>
      <c r="AT20" s="13">
        <v>275</v>
      </c>
      <c r="AU20" s="13">
        <v>248</v>
      </c>
      <c r="AV20" s="13">
        <v>280</v>
      </c>
      <c r="AW20" s="13">
        <v>194</v>
      </c>
      <c r="AX20" s="13">
        <v>238</v>
      </c>
      <c r="AY20" s="13">
        <v>215</v>
      </c>
      <c r="AZ20" s="13">
        <v>172</v>
      </c>
      <c r="BA20" s="13">
        <v>206</v>
      </c>
      <c r="BB20" s="13">
        <v>202</v>
      </c>
    </row>
    <row r="22" spans="1:54" x14ac:dyDescent="0.2">
      <c r="A22" s="9" t="s">
        <v>195</v>
      </c>
      <c r="C22" s="5">
        <v>1527</v>
      </c>
      <c r="D22" s="5">
        <v>1678</v>
      </c>
      <c r="E22" s="5">
        <v>1550</v>
      </c>
      <c r="F22" s="5">
        <v>1548</v>
      </c>
      <c r="G22" s="5">
        <v>1650</v>
      </c>
      <c r="H22" s="5">
        <v>1710</v>
      </c>
      <c r="I22" s="5">
        <v>2062</v>
      </c>
      <c r="J22" s="5">
        <v>1893</v>
      </c>
      <c r="K22" s="5">
        <v>1583</v>
      </c>
      <c r="L22" s="5">
        <v>1677</v>
      </c>
      <c r="M22" s="5">
        <v>2548</v>
      </c>
      <c r="N22" s="5">
        <v>1781</v>
      </c>
      <c r="O22" s="5">
        <v>1409</v>
      </c>
      <c r="P22" s="5">
        <v>1776</v>
      </c>
      <c r="Q22" s="5">
        <v>1871</v>
      </c>
      <c r="R22" s="5">
        <v>2096</v>
      </c>
      <c r="S22" s="5">
        <v>1764</v>
      </c>
      <c r="T22" s="5">
        <v>2158</v>
      </c>
      <c r="U22" s="5">
        <v>1987</v>
      </c>
      <c r="V22" s="5">
        <v>1792</v>
      </c>
      <c r="W22" s="5">
        <v>1752</v>
      </c>
      <c r="X22" s="5">
        <v>1631</v>
      </c>
      <c r="Y22" s="5">
        <v>1743</v>
      </c>
      <c r="Z22" s="5">
        <v>1659</v>
      </c>
      <c r="AA22" s="5">
        <v>1906</v>
      </c>
      <c r="AB22" s="5">
        <v>2045</v>
      </c>
      <c r="AC22" s="5">
        <v>1878</v>
      </c>
      <c r="AD22" s="5">
        <v>2062</v>
      </c>
      <c r="AE22" s="5">
        <v>1894</v>
      </c>
      <c r="AF22" s="5">
        <v>1754</v>
      </c>
      <c r="AG22" s="5">
        <v>1607</v>
      </c>
      <c r="AH22" s="5">
        <v>1613</v>
      </c>
      <c r="AI22" s="5">
        <v>1936</v>
      </c>
      <c r="AJ22" s="5">
        <v>1191</v>
      </c>
      <c r="AK22" s="5">
        <v>1527</v>
      </c>
      <c r="AL22" s="5">
        <v>1551</v>
      </c>
      <c r="AM22" s="5">
        <v>1895</v>
      </c>
      <c r="AN22" s="5">
        <v>1802</v>
      </c>
      <c r="AO22" s="5">
        <v>1817</v>
      </c>
      <c r="AP22" s="5">
        <v>1987</v>
      </c>
      <c r="AQ22" s="5">
        <v>1879</v>
      </c>
      <c r="AR22" s="5">
        <v>1681</v>
      </c>
      <c r="AS22" s="5">
        <v>1764</v>
      </c>
      <c r="AT22" s="5">
        <v>1601</v>
      </c>
      <c r="AU22" s="5">
        <v>1554</v>
      </c>
      <c r="AV22" s="5">
        <v>1692</v>
      </c>
      <c r="AW22" s="5">
        <v>1434</v>
      </c>
      <c r="AX22" s="5">
        <v>1528</v>
      </c>
      <c r="AY22" s="5">
        <v>1710</v>
      </c>
      <c r="AZ22" s="5">
        <v>1809</v>
      </c>
      <c r="BA22" s="5">
        <v>1751</v>
      </c>
      <c r="BB22" s="5">
        <v>1262</v>
      </c>
    </row>
    <row r="23" spans="1:54" x14ac:dyDescent="0.2">
      <c r="A23" s="12"/>
      <c r="B23" s="15"/>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row>
    <row r="24" spans="1:54" x14ac:dyDescent="0.2">
      <c r="A24" s="9" t="s">
        <v>196</v>
      </c>
      <c r="C24" s="5">
        <v>2687</v>
      </c>
      <c r="D24" s="5">
        <v>2897</v>
      </c>
      <c r="E24" s="5">
        <v>2580</v>
      </c>
      <c r="F24" s="5">
        <v>3894</v>
      </c>
      <c r="G24" s="5">
        <v>4014</v>
      </c>
      <c r="H24" s="5">
        <v>4077</v>
      </c>
      <c r="I24" s="5">
        <v>4017</v>
      </c>
      <c r="J24" s="5">
        <v>4009</v>
      </c>
      <c r="K24" s="5">
        <v>3803</v>
      </c>
      <c r="L24" s="5">
        <v>4110</v>
      </c>
      <c r="M24" s="5">
        <v>4689</v>
      </c>
      <c r="N24" s="5">
        <v>4930</v>
      </c>
      <c r="O24" s="5">
        <v>4113</v>
      </c>
      <c r="P24" s="5">
        <v>4525</v>
      </c>
      <c r="Q24" s="5">
        <v>4436</v>
      </c>
      <c r="R24" s="5">
        <v>4384</v>
      </c>
      <c r="S24" s="5">
        <v>4378</v>
      </c>
      <c r="T24" s="5">
        <v>4560</v>
      </c>
      <c r="U24" s="5">
        <v>4618</v>
      </c>
      <c r="V24" s="5">
        <v>4854</v>
      </c>
      <c r="W24" s="5">
        <v>4497</v>
      </c>
      <c r="X24" s="5">
        <v>4306</v>
      </c>
      <c r="Y24" s="5">
        <v>4478</v>
      </c>
      <c r="Z24" s="5">
        <v>4634</v>
      </c>
      <c r="AA24" s="5">
        <v>4407</v>
      </c>
      <c r="AB24" s="5">
        <v>4358</v>
      </c>
      <c r="AC24" s="5">
        <v>3060</v>
      </c>
      <c r="AD24" s="5">
        <v>2956</v>
      </c>
      <c r="AE24" s="5">
        <v>3763</v>
      </c>
      <c r="AF24" s="5">
        <v>3727</v>
      </c>
      <c r="AG24" s="5">
        <v>3833</v>
      </c>
      <c r="AH24" s="5">
        <v>4025</v>
      </c>
      <c r="AI24" s="5">
        <v>4080</v>
      </c>
      <c r="AJ24" s="5">
        <v>3395</v>
      </c>
      <c r="AK24" s="5">
        <v>4138</v>
      </c>
      <c r="AL24" s="5">
        <v>4101</v>
      </c>
      <c r="AM24" s="5">
        <v>4011</v>
      </c>
      <c r="AN24" s="5">
        <v>4468</v>
      </c>
      <c r="AO24" s="5">
        <v>4402</v>
      </c>
      <c r="AP24" s="5">
        <v>4353</v>
      </c>
      <c r="AQ24" s="5">
        <v>4243</v>
      </c>
      <c r="AR24" s="5">
        <v>3817</v>
      </c>
      <c r="AS24" s="5">
        <v>4332</v>
      </c>
      <c r="AT24" s="5">
        <v>3785</v>
      </c>
      <c r="AU24" s="5">
        <v>3683</v>
      </c>
      <c r="AV24" s="5">
        <v>3562</v>
      </c>
      <c r="AW24" s="5">
        <v>3864</v>
      </c>
      <c r="AX24" s="5">
        <v>3603</v>
      </c>
      <c r="AY24" s="5">
        <v>3396</v>
      </c>
      <c r="AZ24" s="5">
        <v>3847</v>
      </c>
      <c r="BA24" s="5">
        <v>3586</v>
      </c>
      <c r="BB24" s="5">
        <v>2805</v>
      </c>
    </row>
    <row r="25" spans="1:54" x14ac:dyDescent="0.2">
      <c r="A25" s="12"/>
      <c r="B25" s="15"/>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row>
    <row r="26" spans="1:54" x14ac:dyDescent="0.2">
      <c r="A26" s="18" t="s">
        <v>197</v>
      </c>
      <c r="B26" s="19"/>
      <c r="C26" s="20">
        <v>41731</v>
      </c>
      <c r="D26" s="20">
        <v>41966</v>
      </c>
      <c r="E26" s="20">
        <v>38164</v>
      </c>
      <c r="F26" s="20">
        <v>44470</v>
      </c>
      <c r="G26" s="20">
        <v>45341</v>
      </c>
      <c r="H26" s="20">
        <v>45926</v>
      </c>
      <c r="I26" s="20">
        <v>46019</v>
      </c>
      <c r="J26" s="20">
        <v>48753</v>
      </c>
      <c r="K26" s="20">
        <v>42591</v>
      </c>
      <c r="L26" s="20">
        <v>45418</v>
      </c>
      <c r="M26" s="20">
        <v>48311</v>
      </c>
      <c r="N26" s="20">
        <v>47108</v>
      </c>
      <c r="O26" s="20">
        <v>44915</v>
      </c>
      <c r="P26" s="20">
        <v>46203</v>
      </c>
      <c r="Q26" s="20">
        <v>45388</v>
      </c>
      <c r="R26" s="20">
        <v>47186</v>
      </c>
      <c r="S26" s="20">
        <v>44606</v>
      </c>
      <c r="T26" s="20">
        <v>45021</v>
      </c>
      <c r="U26" s="20">
        <v>48046</v>
      </c>
      <c r="V26" s="20">
        <v>47298</v>
      </c>
      <c r="W26" s="20">
        <v>42973</v>
      </c>
      <c r="X26" s="20">
        <v>44487</v>
      </c>
      <c r="Y26" s="20">
        <v>44421</v>
      </c>
      <c r="Z26" s="20">
        <v>43998</v>
      </c>
      <c r="AA26" s="20">
        <v>42427</v>
      </c>
      <c r="AB26" s="20">
        <v>46027</v>
      </c>
      <c r="AC26" s="20">
        <v>46005</v>
      </c>
      <c r="AD26" s="20">
        <v>44183</v>
      </c>
      <c r="AE26" s="20">
        <v>44844</v>
      </c>
      <c r="AF26" s="20">
        <v>42436</v>
      </c>
      <c r="AG26" s="20">
        <v>45869</v>
      </c>
      <c r="AH26" s="20">
        <v>44331</v>
      </c>
      <c r="AI26" s="20">
        <v>41807</v>
      </c>
      <c r="AJ26" s="20">
        <v>35485</v>
      </c>
      <c r="AK26" s="20">
        <v>44020</v>
      </c>
      <c r="AL26" s="20">
        <v>44013</v>
      </c>
      <c r="AM26" s="20">
        <v>41721</v>
      </c>
      <c r="AN26" s="20">
        <v>44188</v>
      </c>
      <c r="AO26" s="20">
        <v>44677</v>
      </c>
      <c r="AP26" s="20">
        <v>44589</v>
      </c>
      <c r="AQ26" s="20">
        <v>45601</v>
      </c>
      <c r="AR26" s="20">
        <v>42674</v>
      </c>
      <c r="AS26" s="20">
        <v>46058</v>
      </c>
      <c r="AT26" s="20">
        <v>44955</v>
      </c>
      <c r="AU26" s="20">
        <v>44188</v>
      </c>
      <c r="AV26" s="20">
        <v>43775</v>
      </c>
      <c r="AW26" s="20">
        <v>44344</v>
      </c>
      <c r="AX26" s="20">
        <v>43466</v>
      </c>
      <c r="AY26" s="20">
        <v>42261</v>
      </c>
      <c r="AZ26" s="20">
        <v>43098</v>
      </c>
      <c r="BA26" s="20">
        <v>43108</v>
      </c>
      <c r="BB26" s="20">
        <v>38453</v>
      </c>
    </row>
    <row r="27" spans="1:54" x14ac:dyDescent="0.2">
      <c r="A27" s="12"/>
      <c r="B27" s="15"/>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row>
    <row r="28" spans="1:54" x14ac:dyDescent="0.2">
      <c r="A28" s="9" t="s">
        <v>198</v>
      </c>
      <c r="B28" s="12"/>
      <c r="C28" s="11">
        <v>10297</v>
      </c>
      <c r="D28" s="11">
        <v>8396</v>
      </c>
      <c r="E28" s="11">
        <v>5655</v>
      </c>
      <c r="F28" s="11">
        <v>7931</v>
      </c>
      <c r="G28" s="11">
        <v>8963</v>
      </c>
      <c r="H28" s="11">
        <v>9382</v>
      </c>
      <c r="I28" s="11">
        <v>9308</v>
      </c>
      <c r="J28" s="11">
        <v>8546</v>
      </c>
      <c r="K28" s="11">
        <v>9256</v>
      </c>
      <c r="L28" s="11">
        <v>7594</v>
      </c>
      <c r="M28" s="11">
        <v>9593</v>
      </c>
      <c r="N28" s="11">
        <v>8690</v>
      </c>
      <c r="O28" s="11">
        <v>8466</v>
      </c>
      <c r="P28" s="11">
        <v>9036</v>
      </c>
      <c r="Q28" s="11">
        <v>8922</v>
      </c>
      <c r="R28" s="11">
        <v>8156</v>
      </c>
      <c r="S28" s="11">
        <v>8831</v>
      </c>
      <c r="T28" s="11">
        <v>9381</v>
      </c>
      <c r="U28" s="11">
        <v>9066</v>
      </c>
      <c r="V28" s="11">
        <v>8089</v>
      </c>
      <c r="W28" s="11">
        <v>7626</v>
      </c>
      <c r="X28" s="11">
        <v>9072</v>
      </c>
      <c r="Y28" s="11">
        <v>7751</v>
      </c>
      <c r="Z28" s="11">
        <v>9664</v>
      </c>
      <c r="AA28" s="11">
        <v>9394</v>
      </c>
      <c r="AB28" s="11">
        <v>9781</v>
      </c>
      <c r="AC28" s="11">
        <v>9381</v>
      </c>
      <c r="AD28" s="11">
        <v>9431</v>
      </c>
      <c r="AE28" s="11">
        <v>10004</v>
      </c>
      <c r="AF28" s="11">
        <v>7678</v>
      </c>
      <c r="AG28" s="11">
        <v>9071</v>
      </c>
      <c r="AH28" s="11">
        <v>8865</v>
      </c>
      <c r="AI28" s="11">
        <v>8740</v>
      </c>
      <c r="AJ28" s="11">
        <v>7251</v>
      </c>
      <c r="AK28" s="11">
        <v>8509</v>
      </c>
      <c r="AL28" s="11">
        <v>8601</v>
      </c>
      <c r="AM28" s="11">
        <v>9754</v>
      </c>
      <c r="AN28" s="11">
        <v>7776</v>
      </c>
      <c r="AO28" s="11">
        <v>9400</v>
      </c>
      <c r="AP28" s="11">
        <v>9149</v>
      </c>
      <c r="AQ28" s="11">
        <v>10223</v>
      </c>
      <c r="AR28" s="11">
        <v>10007</v>
      </c>
      <c r="AS28" s="11">
        <v>7361</v>
      </c>
      <c r="AT28" s="11">
        <v>9430</v>
      </c>
      <c r="AU28" s="11">
        <v>6286</v>
      </c>
      <c r="AV28" s="11">
        <v>7972</v>
      </c>
      <c r="AW28" s="11">
        <v>8652</v>
      </c>
      <c r="AX28" s="11">
        <v>8114</v>
      </c>
      <c r="AY28" s="11">
        <v>8581</v>
      </c>
      <c r="AZ28" s="11">
        <v>9225</v>
      </c>
      <c r="BA28" s="11">
        <v>9102</v>
      </c>
      <c r="BB28" s="11">
        <v>8038</v>
      </c>
    </row>
    <row r="29" spans="1:54" x14ac:dyDescent="0.2">
      <c r="A29" s="12"/>
      <c r="B29" s="12" t="s">
        <v>198</v>
      </c>
      <c r="C29" s="13">
        <v>8553</v>
      </c>
      <c r="D29" s="13">
        <v>7480</v>
      </c>
      <c r="E29" s="13">
        <v>4225</v>
      </c>
      <c r="F29" s="13">
        <v>6665</v>
      </c>
      <c r="G29" s="13">
        <v>8171</v>
      </c>
      <c r="H29" s="13">
        <v>7595</v>
      </c>
      <c r="I29" s="13">
        <v>8544</v>
      </c>
      <c r="J29" s="13">
        <v>6945</v>
      </c>
      <c r="K29" s="13">
        <v>7820</v>
      </c>
      <c r="L29" s="13">
        <v>6768</v>
      </c>
      <c r="M29" s="13">
        <v>7646</v>
      </c>
      <c r="N29" s="13">
        <v>7444</v>
      </c>
      <c r="O29" s="13">
        <v>7149</v>
      </c>
      <c r="P29" s="13">
        <v>7789</v>
      </c>
      <c r="Q29" s="13">
        <v>7549</v>
      </c>
      <c r="R29" s="13">
        <v>7006</v>
      </c>
      <c r="S29" s="13">
        <v>7110</v>
      </c>
      <c r="T29" s="13">
        <v>7660</v>
      </c>
      <c r="U29" s="13">
        <v>7734</v>
      </c>
      <c r="V29" s="13">
        <v>7218</v>
      </c>
      <c r="W29" s="13">
        <v>6895</v>
      </c>
      <c r="X29" s="13">
        <v>7469</v>
      </c>
      <c r="Y29" s="13">
        <v>6386</v>
      </c>
      <c r="Z29" s="13">
        <v>8429</v>
      </c>
      <c r="AA29" s="13">
        <v>8384</v>
      </c>
      <c r="AB29" s="13">
        <v>8115</v>
      </c>
      <c r="AC29" s="13">
        <v>8160</v>
      </c>
      <c r="AD29" s="13">
        <v>7841</v>
      </c>
      <c r="AE29" s="13">
        <v>8886</v>
      </c>
      <c r="AF29" s="13">
        <v>6311</v>
      </c>
      <c r="AG29" s="13">
        <v>7299</v>
      </c>
      <c r="AH29" s="13">
        <v>7641</v>
      </c>
      <c r="AI29" s="13">
        <v>7391</v>
      </c>
      <c r="AJ29" s="13">
        <v>6351</v>
      </c>
      <c r="AK29" s="13">
        <v>6866</v>
      </c>
      <c r="AL29" s="13">
        <v>7877</v>
      </c>
      <c r="AM29" s="13">
        <v>8533</v>
      </c>
      <c r="AN29" s="13">
        <v>6541</v>
      </c>
      <c r="AO29" s="13">
        <v>7978</v>
      </c>
      <c r="AP29" s="13">
        <v>8231</v>
      </c>
      <c r="AQ29" s="13">
        <v>8706</v>
      </c>
      <c r="AR29" s="13">
        <v>9041</v>
      </c>
      <c r="AS29" s="13">
        <v>6745</v>
      </c>
      <c r="AT29" s="13">
        <v>8199</v>
      </c>
      <c r="AU29" s="13">
        <v>5518</v>
      </c>
      <c r="AV29" s="13">
        <v>6337</v>
      </c>
      <c r="AW29" s="13">
        <v>7374</v>
      </c>
      <c r="AX29" s="13">
        <v>6838</v>
      </c>
      <c r="AY29" s="13">
        <v>7603</v>
      </c>
      <c r="AZ29" s="13">
        <v>8124</v>
      </c>
      <c r="BA29" s="13">
        <v>7731</v>
      </c>
      <c r="BB29" s="13">
        <v>6726</v>
      </c>
    </row>
    <row r="30" spans="1:54" x14ac:dyDescent="0.2">
      <c r="A30" s="12"/>
      <c r="B30" s="15" t="s">
        <v>199</v>
      </c>
      <c r="C30" s="13">
        <v>1744</v>
      </c>
      <c r="D30" s="13">
        <v>916</v>
      </c>
      <c r="E30" s="13">
        <v>1430</v>
      </c>
      <c r="F30" s="13">
        <v>1266</v>
      </c>
      <c r="G30" s="13">
        <v>792</v>
      </c>
      <c r="H30" s="13">
        <v>1787</v>
      </c>
      <c r="I30" s="13">
        <v>764</v>
      </c>
      <c r="J30" s="13">
        <v>1601</v>
      </c>
      <c r="K30" s="13">
        <v>1436</v>
      </c>
      <c r="L30" s="13">
        <v>826</v>
      </c>
      <c r="M30" s="13">
        <v>1947</v>
      </c>
      <c r="N30" s="13">
        <v>1246</v>
      </c>
      <c r="O30" s="13">
        <v>1317</v>
      </c>
      <c r="P30" s="13">
        <v>1247</v>
      </c>
      <c r="Q30" s="13">
        <v>1373</v>
      </c>
      <c r="R30" s="13">
        <v>1150</v>
      </c>
      <c r="S30" s="13">
        <v>1721</v>
      </c>
      <c r="T30" s="13">
        <v>1721</v>
      </c>
      <c r="U30" s="13">
        <v>1332</v>
      </c>
      <c r="V30" s="13">
        <v>871</v>
      </c>
      <c r="W30" s="13">
        <v>731</v>
      </c>
      <c r="X30" s="13">
        <v>1603</v>
      </c>
      <c r="Y30" s="13">
        <v>1365</v>
      </c>
      <c r="Z30" s="13">
        <v>1235</v>
      </c>
      <c r="AA30" s="13">
        <v>1010</v>
      </c>
      <c r="AB30" s="13">
        <v>1666</v>
      </c>
      <c r="AC30" s="13">
        <v>1221</v>
      </c>
      <c r="AD30" s="13">
        <v>1590</v>
      </c>
      <c r="AE30" s="13">
        <v>1118</v>
      </c>
      <c r="AF30" s="13">
        <v>1367</v>
      </c>
      <c r="AG30" s="13">
        <v>1772</v>
      </c>
      <c r="AH30" s="13">
        <v>1224</v>
      </c>
      <c r="AI30" s="13">
        <v>1349</v>
      </c>
      <c r="AJ30" s="13">
        <v>900</v>
      </c>
      <c r="AK30" s="13">
        <v>1643</v>
      </c>
      <c r="AL30" s="13">
        <v>724</v>
      </c>
      <c r="AM30" s="13">
        <v>1221</v>
      </c>
      <c r="AN30" s="13">
        <v>1235</v>
      </c>
      <c r="AO30" s="13">
        <v>1422</v>
      </c>
      <c r="AP30" s="13">
        <v>918</v>
      </c>
      <c r="AQ30" s="13">
        <v>1517</v>
      </c>
      <c r="AR30" s="13">
        <v>966</v>
      </c>
      <c r="AS30" s="13">
        <v>616</v>
      </c>
      <c r="AT30" s="13">
        <v>1231</v>
      </c>
      <c r="AU30" s="13">
        <v>768</v>
      </c>
      <c r="AV30" s="13">
        <v>1635</v>
      </c>
      <c r="AW30" s="13">
        <v>1278</v>
      </c>
      <c r="AX30" s="13">
        <v>1276</v>
      </c>
      <c r="AY30" s="13">
        <v>978</v>
      </c>
      <c r="AZ30" s="13">
        <v>1101</v>
      </c>
      <c r="BA30" s="13">
        <v>1371</v>
      </c>
      <c r="BB30" s="13">
        <v>1312</v>
      </c>
    </row>
    <row r="31" spans="1:54" x14ac:dyDescent="0.2">
      <c r="A31" s="12"/>
      <c r="B31" s="15"/>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row>
    <row r="32" spans="1:54" x14ac:dyDescent="0.2">
      <c r="A32" s="16" t="s">
        <v>200</v>
      </c>
      <c r="B32" s="12"/>
      <c r="C32" s="11">
        <v>6304</v>
      </c>
      <c r="D32" s="11">
        <v>8366</v>
      </c>
      <c r="E32" s="11">
        <v>5829</v>
      </c>
      <c r="F32" s="11">
        <v>7124</v>
      </c>
      <c r="G32" s="11">
        <v>7946</v>
      </c>
      <c r="H32" s="11">
        <v>9189</v>
      </c>
      <c r="I32" s="11">
        <v>8063</v>
      </c>
      <c r="J32" s="11">
        <v>9722</v>
      </c>
      <c r="K32" s="11">
        <v>7993</v>
      </c>
      <c r="L32" s="11">
        <v>7405</v>
      </c>
      <c r="M32" s="11">
        <v>7991</v>
      </c>
      <c r="N32" s="11">
        <v>7398</v>
      </c>
      <c r="O32" s="11">
        <v>7071</v>
      </c>
      <c r="P32" s="11">
        <v>9535</v>
      </c>
      <c r="Q32" s="11">
        <v>7154</v>
      </c>
      <c r="R32" s="11">
        <v>8361</v>
      </c>
      <c r="S32" s="11">
        <v>8195</v>
      </c>
      <c r="T32" s="11">
        <v>8337</v>
      </c>
      <c r="U32" s="11">
        <v>7543</v>
      </c>
      <c r="V32" s="11">
        <v>7466</v>
      </c>
      <c r="W32" s="11">
        <v>5958</v>
      </c>
      <c r="X32" s="11">
        <v>6273</v>
      </c>
      <c r="Y32" s="11">
        <v>6442</v>
      </c>
      <c r="Z32" s="11">
        <v>7294</v>
      </c>
      <c r="AA32" s="11">
        <v>7391</v>
      </c>
      <c r="AB32" s="11">
        <v>7097</v>
      </c>
      <c r="AC32" s="11">
        <v>7240</v>
      </c>
      <c r="AD32" s="11">
        <v>5870</v>
      </c>
      <c r="AE32" s="11">
        <v>7325</v>
      </c>
      <c r="AF32" s="11">
        <v>5722</v>
      </c>
      <c r="AG32" s="11">
        <v>7007</v>
      </c>
      <c r="AH32" s="11">
        <v>7171</v>
      </c>
      <c r="AI32" s="11">
        <v>6672</v>
      </c>
      <c r="AJ32" s="11">
        <v>4832</v>
      </c>
      <c r="AK32" s="11">
        <v>6708</v>
      </c>
      <c r="AL32" s="11">
        <v>6952</v>
      </c>
      <c r="AM32" s="11">
        <v>9225</v>
      </c>
      <c r="AN32" s="11">
        <v>9025</v>
      </c>
      <c r="AO32" s="11">
        <v>10687</v>
      </c>
      <c r="AP32" s="11">
        <v>10213</v>
      </c>
      <c r="AQ32" s="11">
        <v>10875</v>
      </c>
      <c r="AR32" s="11">
        <v>10304</v>
      </c>
      <c r="AS32" s="11">
        <v>11456</v>
      </c>
      <c r="AT32" s="11">
        <v>11030</v>
      </c>
      <c r="AU32" s="11">
        <v>9398</v>
      </c>
      <c r="AV32" s="11">
        <v>10787</v>
      </c>
      <c r="AW32" s="11">
        <v>9617</v>
      </c>
      <c r="AX32" s="11">
        <v>8638</v>
      </c>
      <c r="AY32" s="11">
        <v>9289</v>
      </c>
      <c r="AZ32" s="11">
        <v>8654</v>
      </c>
      <c r="BA32" s="11">
        <v>7874</v>
      </c>
      <c r="BB32" s="11">
        <v>7177</v>
      </c>
    </row>
    <row r="33" spans="1:54" x14ac:dyDescent="0.2">
      <c r="A33" s="12"/>
      <c r="B33" s="15" t="s">
        <v>201</v>
      </c>
      <c r="C33" s="13">
        <v>885</v>
      </c>
      <c r="D33" s="13">
        <v>1186</v>
      </c>
      <c r="E33" s="13">
        <v>1219</v>
      </c>
      <c r="F33" s="13">
        <v>1693</v>
      </c>
      <c r="G33" s="13">
        <v>1847</v>
      </c>
      <c r="H33" s="13">
        <v>1639</v>
      </c>
      <c r="I33" s="13">
        <v>1173</v>
      </c>
      <c r="J33" s="13">
        <v>1571</v>
      </c>
      <c r="K33" s="13">
        <v>2115</v>
      </c>
      <c r="L33" s="13">
        <v>1048</v>
      </c>
      <c r="M33" s="13">
        <v>1961</v>
      </c>
      <c r="N33" s="13">
        <v>1371</v>
      </c>
      <c r="O33" s="13">
        <v>929</v>
      </c>
      <c r="P33" s="13">
        <v>1642</v>
      </c>
      <c r="Q33" s="13">
        <v>1340</v>
      </c>
      <c r="R33" s="13">
        <v>1604</v>
      </c>
      <c r="S33" s="13">
        <v>2129</v>
      </c>
      <c r="T33" s="13">
        <v>1964</v>
      </c>
      <c r="U33" s="13">
        <v>1591</v>
      </c>
      <c r="V33" s="13">
        <v>1764</v>
      </c>
      <c r="W33" s="13">
        <v>1157</v>
      </c>
      <c r="X33" s="13">
        <v>1524</v>
      </c>
      <c r="Y33" s="13">
        <v>989</v>
      </c>
      <c r="Z33" s="13">
        <v>1042</v>
      </c>
      <c r="AA33" s="13">
        <v>2399</v>
      </c>
      <c r="AB33" s="13">
        <v>2042</v>
      </c>
      <c r="AC33" s="13">
        <v>1157</v>
      </c>
      <c r="AD33" s="13">
        <v>587</v>
      </c>
      <c r="AE33" s="13">
        <v>1811</v>
      </c>
      <c r="AF33" s="13">
        <v>1314</v>
      </c>
      <c r="AG33" s="13">
        <v>1724</v>
      </c>
      <c r="AH33" s="13">
        <v>1962</v>
      </c>
      <c r="AI33" s="13">
        <v>2182</v>
      </c>
      <c r="AJ33" s="13">
        <v>1708</v>
      </c>
      <c r="AK33" s="13">
        <v>2353</v>
      </c>
      <c r="AL33" s="13">
        <v>2265</v>
      </c>
      <c r="AM33" s="13">
        <v>2783</v>
      </c>
      <c r="AN33" s="13">
        <v>1664</v>
      </c>
      <c r="AO33" s="13">
        <v>2435</v>
      </c>
      <c r="AP33" s="13">
        <v>2638</v>
      </c>
      <c r="AQ33" s="13">
        <v>2838</v>
      </c>
      <c r="AR33" s="13">
        <v>2315</v>
      </c>
      <c r="AS33" s="13">
        <v>2233</v>
      </c>
      <c r="AT33" s="13">
        <v>2499</v>
      </c>
      <c r="AU33" s="13">
        <v>1733</v>
      </c>
      <c r="AV33" s="13">
        <v>1683</v>
      </c>
      <c r="AW33" s="13">
        <v>1706</v>
      </c>
      <c r="AX33" s="13">
        <v>1184</v>
      </c>
      <c r="AY33" s="13">
        <v>1513</v>
      </c>
      <c r="AZ33" s="13">
        <v>1719</v>
      </c>
      <c r="BA33" s="13">
        <v>1870</v>
      </c>
      <c r="BB33" s="13">
        <v>1664</v>
      </c>
    </row>
    <row r="34" spans="1:54" x14ac:dyDescent="0.2">
      <c r="A34" s="12"/>
      <c r="B34" s="15" t="s">
        <v>200</v>
      </c>
      <c r="C34" s="13">
        <v>4079</v>
      </c>
      <c r="D34" s="13">
        <v>5913</v>
      </c>
      <c r="E34" s="13">
        <v>3471</v>
      </c>
      <c r="F34" s="13">
        <v>4104</v>
      </c>
      <c r="G34" s="13">
        <v>4667</v>
      </c>
      <c r="H34" s="13">
        <v>5915</v>
      </c>
      <c r="I34" s="13">
        <v>5434</v>
      </c>
      <c r="J34" s="13">
        <v>6701</v>
      </c>
      <c r="K34" s="13">
        <v>4497</v>
      </c>
      <c r="L34" s="13">
        <v>5062</v>
      </c>
      <c r="M34" s="13">
        <v>4662</v>
      </c>
      <c r="N34" s="13">
        <v>4874</v>
      </c>
      <c r="O34" s="13">
        <v>4875</v>
      </c>
      <c r="P34" s="13">
        <v>6556</v>
      </c>
      <c r="Q34" s="13">
        <v>4615</v>
      </c>
      <c r="R34" s="13">
        <v>5512</v>
      </c>
      <c r="S34" s="13">
        <v>4898</v>
      </c>
      <c r="T34" s="13">
        <v>4996</v>
      </c>
      <c r="U34" s="13">
        <v>4572</v>
      </c>
      <c r="V34" s="13">
        <v>4287</v>
      </c>
      <c r="W34" s="13">
        <v>3729</v>
      </c>
      <c r="X34" s="13">
        <v>3463</v>
      </c>
      <c r="Y34" s="13">
        <v>4182</v>
      </c>
      <c r="Z34" s="13">
        <v>4904</v>
      </c>
      <c r="AA34" s="13">
        <v>3568</v>
      </c>
      <c r="AB34" s="13">
        <v>3851</v>
      </c>
      <c r="AC34" s="13">
        <v>4643</v>
      </c>
      <c r="AD34" s="13">
        <v>3886</v>
      </c>
      <c r="AE34" s="13">
        <v>4130</v>
      </c>
      <c r="AF34" s="13">
        <v>3333</v>
      </c>
      <c r="AG34" s="13">
        <v>4029</v>
      </c>
      <c r="AH34" s="13">
        <v>3876</v>
      </c>
      <c r="AI34" s="13">
        <v>3052</v>
      </c>
      <c r="AJ34" s="13">
        <v>1988</v>
      </c>
      <c r="AK34" s="13">
        <v>3312</v>
      </c>
      <c r="AL34" s="13">
        <v>3486</v>
      </c>
      <c r="AM34" s="13">
        <v>5240</v>
      </c>
      <c r="AN34" s="13">
        <v>6177</v>
      </c>
      <c r="AO34" s="13">
        <v>7004</v>
      </c>
      <c r="AP34" s="13">
        <v>6121</v>
      </c>
      <c r="AQ34" s="13">
        <v>6743</v>
      </c>
      <c r="AR34" s="13">
        <v>6666</v>
      </c>
      <c r="AS34" s="13">
        <v>7906</v>
      </c>
      <c r="AT34" s="13">
        <v>6991</v>
      </c>
      <c r="AU34" s="13">
        <v>6562</v>
      </c>
      <c r="AV34" s="13">
        <v>7894</v>
      </c>
      <c r="AW34" s="13">
        <v>6676</v>
      </c>
      <c r="AX34" s="13">
        <v>6269</v>
      </c>
      <c r="AY34" s="13">
        <v>6388</v>
      </c>
      <c r="AZ34" s="13">
        <v>5685</v>
      </c>
      <c r="BA34" s="13">
        <v>4526</v>
      </c>
      <c r="BB34" s="13">
        <v>4326</v>
      </c>
    </row>
    <row r="35" spans="1:54" x14ac:dyDescent="0.2">
      <c r="A35" s="12"/>
      <c r="B35" s="15" t="s">
        <v>202</v>
      </c>
      <c r="C35" s="13">
        <v>1340</v>
      </c>
      <c r="D35" s="13">
        <v>1267</v>
      </c>
      <c r="E35" s="13">
        <v>1139</v>
      </c>
      <c r="F35" s="13">
        <v>1327</v>
      </c>
      <c r="G35" s="13">
        <v>1432</v>
      </c>
      <c r="H35" s="13">
        <v>1635</v>
      </c>
      <c r="I35" s="13">
        <v>1456</v>
      </c>
      <c r="J35" s="13">
        <v>1450</v>
      </c>
      <c r="K35" s="13">
        <v>1381</v>
      </c>
      <c r="L35" s="13">
        <v>1295</v>
      </c>
      <c r="M35" s="13">
        <v>1368</v>
      </c>
      <c r="N35" s="13">
        <v>1153</v>
      </c>
      <c r="O35" s="13">
        <v>1267</v>
      </c>
      <c r="P35" s="13">
        <v>1337</v>
      </c>
      <c r="Q35" s="13">
        <v>1199</v>
      </c>
      <c r="R35" s="13">
        <v>1245</v>
      </c>
      <c r="S35" s="13">
        <v>1168</v>
      </c>
      <c r="T35" s="13">
        <v>1377</v>
      </c>
      <c r="U35" s="13">
        <v>1380</v>
      </c>
      <c r="V35" s="13">
        <v>1415</v>
      </c>
      <c r="W35" s="13">
        <v>1072</v>
      </c>
      <c r="X35" s="13">
        <v>1286</v>
      </c>
      <c r="Y35" s="13">
        <v>1271</v>
      </c>
      <c r="Z35" s="13">
        <v>1348</v>
      </c>
      <c r="AA35" s="13">
        <v>1424</v>
      </c>
      <c r="AB35" s="13">
        <v>1204</v>
      </c>
      <c r="AC35" s="13">
        <v>1440</v>
      </c>
      <c r="AD35" s="13">
        <v>1397</v>
      </c>
      <c r="AE35" s="13">
        <v>1384</v>
      </c>
      <c r="AF35" s="13">
        <v>1075</v>
      </c>
      <c r="AG35" s="13">
        <v>1254</v>
      </c>
      <c r="AH35" s="13">
        <v>1333</v>
      </c>
      <c r="AI35" s="13">
        <v>1438</v>
      </c>
      <c r="AJ35" s="13">
        <v>1136</v>
      </c>
      <c r="AK35" s="13">
        <v>1043</v>
      </c>
      <c r="AL35" s="13">
        <v>1201</v>
      </c>
      <c r="AM35" s="13">
        <v>1202</v>
      </c>
      <c r="AN35" s="13">
        <v>1184</v>
      </c>
      <c r="AO35" s="13">
        <v>1248</v>
      </c>
      <c r="AP35" s="13">
        <v>1454</v>
      </c>
      <c r="AQ35" s="13">
        <v>1294</v>
      </c>
      <c r="AR35" s="13">
        <v>1323</v>
      </c>
      <c r="AS35" s="13">
        <v>1317</v>
      </c>
      <c r="AT35" s="13">
        <v>1540</v>
      </c>
      <c r="AU35" s="13">
        <v>1103</v>
      </c>
      <c r="AV35" s="13">
        <v>1210</v>
      </c>
      <c r="AW35" s="13">
        <v>1235</v>
      </c>
      <c r="AX35" s="13">
        <v>1185</v>
      </c>
      <c r="AY35" s="13">
        <v>1388</v>
      </c>
      <c r="AZ35" s="13">
        <v>1250</v>
      </c>
      <c r="BA35" s="13">
        <v>1478</v>
      </c>
      <c r="BB35" s="13">
        <v>1187</v>
      </c>
    </row>
    <row r="36" spans="1:54" x14ac:dyDescent="0.2">
      <c r="A36" s="12"/>
      <c r="B36" s="15"/>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row>
    <row r="37" spans="1:54" x14ac:dyDescent="0.2">
      <c r="A37" s="9" t="s">
        <v>203</v>
      </c>
      <c r="C37" s="5">
        <v>1559</v>
      </c>
      <c r="D37" s="5">
        <v>1624</v>
      </c>
      <c r="E37" s="5">
        <v>1359</v>
      </c>
      <c r="F37" s="5">
        <v>1814</v>
      </c>
      <c r="G37" s="5">
        <v>1851</v>
      </c>
      <c r="H37" s="5">
        <v>1760</v>
      </c>
      <c r="I37" s="5">
        <v>1998</v>
      </c>
      <c r="J37" s="5">
        <v>2023</v>
      </c>
      <c r="K37" s="5">
        <v>1842</v>
      </c>
      <c r="L37" s="5">
        <v>1934</v>
      </c>
      <c r="M37" s="5">
        <v>1783</v>
      </c>
      <c r="N37" s="5">
        <v>1757</v>
      </c>
      <c r="O37" s="5">
        <v>1832</v>
      </c>
      <c r="P37" s="5">
        <v>1963</v>
      </c>
      <c r="Q37" s="5">
        <v>2004</v>
      </c>
      <c r="R37" s="5">
        <v>1929</v>
      </c>
      <c r="S37" s="5">
        <v>1931</v>
      </c>
      <c r="T37" s="5">
        <v>1546</v>
      </c>
      <c r="U37" s="5">
        <v>2112</v>
      </c>
      <c r="V37" s="5">
        <v>1582</v>
      </c>
      <c r="W37" s="5">
        <v>1466</v>
      </c>
      <c r="X37" s="5">
        <v>1760</v>
      </c>
      <c r="Y37" s="5">
        <v>1638</v>
      </c>
      <c r="Z37" s="5">
        <v>1639</v>
      </c>
      <c r="AA37" s="5">
        <v>1342</v>
      </c>
      <c r="AB37" s="5">
        <v>1602</v>
      </c>
      <c r="AC37" s="5">
        <v>1501</v>
      </c>
      <c r="AD37" s="5">
        <v>1815</v>
      </c>
      <c r="AE37" s="5">
        <v>1491</v>
      </c>
      <c r="AF37" s="5">
        <v>1462</v>
      </c>
      <c r="AG37" s="5">
        <v>1502</v>
      </c>
      <c r="AH37" s="5">
        <v>1938</v>
      </c>
      <c r="AI37" s="5">
        <v>2011</v>
      </c>
      <c r="AJ37" s="5">
        <v>1348</v>
      </c>
      <c r="AK37" s="5">
        <v>1588</v>
      </c>
      <c r="AL37" s="5">
        <v>1904</v>
      </c>
      <c r="AM37" s="5">
        <v>1696</v>
      </c>
      <c r="AN37" s="5">
        <v>1648</v>
      </c>
      <c r="AO37" s="5">
        <v>1884</v>
      </c>
      <c r="AP37" s="5">
        <v>1737</v>
      </c>
      <c r="AQ37" s="5">
        <v>1857</v>
      </c>
      <c r="AR37" s="5">
        <v>1829</v>
      </c>
      <c r="AS37" s="5">
        <v>1784</v>
      </c>
      <c r="AT37" s="5">
        <v>1780</v>
      </c>
      <c r="AU37" s="5">
        <v>1871</v>
      </c>
      <c r="AV37" s="5">
        <v>2008</v>
      </c>
      <c r="AW37" s="5">
        <v>1897</v>
      </c>
      <c r="AX37" s="5">
        <v>2092</v>
      </c>
      <c r="AY37" s="5">
        <v>2217</v>
      </c>
      <c r="AZ37" s="5">
        <v>1640</v>
      </c>
      <c r="BA37" s="5">
        <v>1829</v>
      </c>
      <c r="BB37" s="5">
        <v>1847</v>
      </c>
    </row>
    <row r="38" spans="1:54" x14ac:dyDescent="0.2">
      <c r="A38" s="4"/>
      <c r="B38" s="4"/>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row>
    <row r="39" spans="1:54" x14ac:dyDescent="0.2">
      <c r="A39" s="18" t="s">
        <v>204</v>
      </c>
      <c r="B39" s="19"/>
      <c r="C39" s="20">
        <v>18160</v>
      </c>
      <c r="D39" s="20">
        <v>18386</v>
      </c>
      <c r="E39" s="20">
        <v>12843</v>
      </c>
      <c r="F39" s="20">
        <v>16869</v>
      </c>
      <c r="G39" s="20">
        <v>18760</v>
      </c>
      <c r="H39" s="20">
        <v>20331</v>
      </c>
      <c r="I39" s="20">
        <v>19369</v>
      </c>
      <c r="J39" s="20">
        <v>20291</v>
      </c>
      <c r="K39" s="20">
        <v>19091</v>
      </c>
      <c r="L39" s="20">
        <v>16933</v>
      </c>
      <c r="M39" s="20">
        <v>19367</v>
      </c>
      <c r="N39" s="20">
        <v>17845</v>
      </c>
      <c r="O39" s="20">
        <v>17369</v>
      </c>
      <c r="P39" s="20">
        <v>20534</v>
      </c>
      <c r="Q39" s="20">
        <v>18080</v>
      </c>
      <c r="R39" s="20">
        <v>18446</v>
      </c>
      <c r="S39" s="20">
        <v>18957</v>
      </c>
      <c r="T39" s="20">
        <v>19264</v>
      </c>
      <c r="U39" s="20">
        <v>18721</v>
      </c>
      <c r="V39" s="20">
        <v>17137</v>
      </c>
      <c r="W39" s="20">
        <v>15050</v>
      </c>
      <c r="X39" s="20">
        <v>17105</v>
      </c>
      <c r="Y39" s="20">
        <v>15831</v>
      </c>
      <c r="Z39" s="20">
        <v>18597</v>
      </c>
      <c r="AA39" s="20">
        <v>18127</v>
      </c>
      <c r="AB39" s="20">
        <v>18480</v>
      </c>
      <c r="AC39" s="20">
        <v>18122</v>
      </c>
      <c r="AD39" s="20">
        <v>17116</v>
      </c>
      <c r="AE39" s="20">
        <v>18820</v>
      </c>
      <c r="AF39" s="20">
        <v>14862</v>
      </c>
      <c r="AG39" s="20">
        <v>17580</v>
      </c>
      <c r="AH39" s="20">
        <v>17974</v>
      </c>
      <c r="AI39" s="20">
        <v>17423</v>
      </c>
      <c r="AJ39" s="20">
        <v>13431</v>
      </c>
      <c r="AK39" s="20">
        <v>16805</v>
      </c>
      <c r="AL39" s="20">
        <v>17457</v>
      </c>
      <c r="AM39" s="20">
        <v>20675</v>
      </c>
      <c r="AN39" s="20">
        <v>18449</v>
      </c>
      <c r="AO39" s="20">
        <v>21971</v>
      </c>
      <c r="AP39" s="20">
        <v>21099</v>
      </c>
      <c r="AQ39" s="20">
        <v>22955</v>
      </c>
      <c r="AR39" s="20">
        <v>22140</v>
      </c>
      <c r="AS39" s="20">
        <v>20601</v>
      </c>
      <c r="AT39" s="20">
        <v>22240</v>
      </c>
      <c r="AU39" s="20">
        <v>17555</v>
      </c>
      <c r="AV39" s="20">
        <v>20767</v>
      </c>
      <c r="AW39" s="20">
        <v>20166</v>
      </c>
      <c r="AX39" s="20">
        <v>18844</v>
      </c>
      <c r="AY39" s="20">
        <v>20087</v>
      </c>
      <c r="AZ39" s="20">
        <v>19519</v>
      </c>
      <c r="BA39" s="20">
        <v>18805</v>
      </c>
      <c r="BB39" s="20">
        <v>17062</v>
      </c>
    </row>
    <row r="40" spans="1:54" x14ac:dyDescent="0.2">
      <c r="A40" s="12"/>
      <c r="B40" s="15"/>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row>
    <row r="41" spans="1:54" x14ac:dyDescent="0.2">
      <c r="A41" s="12"/>
      <c r="B41" s="15" t="s">
        <v>205</v>
      </c>
      <c r="C41" s="13">
        <v>36383</v>
      </c>
      <c r="D41" s="13">
        <v>38538</v>
      </c>
      <c r="E41" s="13">
        <v>32476</v>
      </c>
      <c r="F41" s="13">
        <v>40048</v>
      </c>
      <c r="G41" s="13">
        <v>42058</v>
      </c>
      <c r="H41" s="13">
        <v>41772</v>
      </c>
      <c r="I41" s="13">
        <v>42121</v>
      </c>
      <c r="J41" s="13">
        <v>40778</v>
      </c>
      <c r="K41" s="13">
        <v>41024</v>
      </c>
      <c r="L41" s="13">
        <v>41510</v>
      </c>
      <c r="M41" s="13">
        <v>42405</v>
      </c>
      <c r="N41" s="13">
        <v>44211</v>
      </c>
      <c r="O41" s="13">
        <v>42528</v>
      </c>
      <c r="P41" s="13">
        <v>44554</v>
      </c>
      <c r="Q41" s="13">
        <v>45173</v>
      </c>
      <c r="R41" s="13">
        <v>46378</v>
      </c>
      <c r="S41" s="13">
        <v>47770</v>
      </c>
      <c r="T41" s="13">
        <v>47744</v>
      </c>
      <c r="U41" s="13">
        <v>47129</v>
      </c>
      <c r="V41" s="13">
        <v>48322</v>
      </c>
      <c r="W41" s="13">
        <v>45531</v>
      </c>
      <c r="X41" s="13">
        <v>45890</v>
      </c>
      <c r="Y41" s="13">
        <v>43533</v>
      </c>
      <c r="Z41" s="13">
        <v>48701</v>
      </c>
      <c r="AA41" s="13">
        <v>44353</v>
      </c>
      <c r="AB41" s="13">
        <v>42029</v>
      </c>
      <c r="AC41" s="13">
        <v>41725</v>
      </c>
      <c r="AD41" s="13">
        <v>42476</v>
      </c>
      <c r="AE41" s="13">
        <v>40251</v>
      </c>
      <c r="AF41" s="13">
        <v>36148</v>
      </c>
      <c r="AG41" s="13">
        <v>34897</v>
      </c>
      <c r="AH41" s="13">
        <v>39056</v>
      </c>
      <c r="AI41" s="13">
        <v>38944</v>
      </c>
      <c r="AJ41" s="13">
        <v>28654</v>
      </c>
      <c r="AK41" s="13">
        <v>35325</v>
      </c>
      <c r="AL41" s="13">
        <v>38333</v>
      </c>
      <c r="AM41" s="13">
        <v>40509</v>
      </c>
      <c r="AN41" s="13">
        <v>39601</v>
      </c>
      <c r="AO41" s="13">
        <v>41353</v>
      </c>
      <c r="AP41" s="13">
        <v>39782</v>
      </c>
      <c r="AQ41" s="13">
        <v>40789</v>
      </c>
      <c r="AR41" s="13">
        <v>39034</v>
      </c>
      <c r="AS41" s="13">
        <v>43427</v>
      </c>
      <c r="AT41" s="13">
        <v>41398</v>
      </c>
      <c r="AU41" s="13">
        <v>22206</v>
      </c>
      <c r="AV41" s="13">
        <v>22020</v>
      </c>
      <c r="AW41" s="13">
        <v>42360</v>
      </c>
      <c r="AX41" s="13">
        <v>40504</v>
      </c>
      <c r="AY41" s="13">
        <v>40054</v>
      </c>
      <c r="AZ41" s="13">
        <v>40218</v>
      </c>
      <c r="BA41" s="13">
        <v>39925</v>
      </c>
      <c r="BB41" s="13">
        <v>29368</v>
      </c>
    </row>
    <row r="42" spans="1:54" x14ac:dyDescent="0.2">
      <c r="A42" s="12"/>
      <c r="B42" s="15" t="s">
        <v>206</v>
      </c>
      <c r="C42" s="13">
        <v>0</v>
      </c>
      <c r="D42" s="13">
        <v>0</v>
      </c>
      <c r="E42" s="13">
        <v>0</v>
      </c>
      <c r="F42" s="13">
        <v>0</v>
      </c>
      <c r="G42" s="13">
        <v>0</v>
      </c>
      <c r="H42" s="13">
        <v>0</v>
      </c>
      <c r="I42" s="13">
        <v>0</v>
      </c>
      <c r="J42" s="13">
        <v>0</v>
      </c>
      <c r="K42" s="13">
        <v>0</v>
      </c>
      <c r="L42" s="13">
        <v>0</v>
      </c>
      <c r="M42" s="13">
        <v>0</v>
      </c>
      <c r="N42" s="13">
        <v>0</v>
      </c>
      <c r="O42" s="13">
        <v>0</v>
      </c>
      <c r="P42" s="13">
        <v>0</v>
      </c>
      <c r="Q42" s="13">
        <v>0</v>
      </c>
      <c r="R42" s="13">
        <v>0</v>
      </c>
      <c r="S42" s="13">
        <v>0</v>
      </c>
      <c r="T42" s="13">
        <v>0</v>
      </c>
      <c r="U42" s="13">
        <v>0</v>
      </c>
      <c r="V42" s="13">
        <v>0</v>
      </c>
      <c r="W42" s="13">
        <v>0</v>
      </c>
      <c r="X42" s="13">
        <v>0</v>
      </c>
      <c r="Y42" s="13">
        <v>0</v>
      </c>
      <c r="Z42" s="13">
        <v>0</v>
      </c>
      <c r="AA42" s="13">
        <v>0</v>
      </c>
      <c r="AB42" s="13">
        <v>0</v>
      </c>
      <c r="AC42" s="13">
        <v>0</v>
      </c>
      <c r="AD42" s="13">
        <v>0</v>
      </c>
      <c r="AE42" s="13">
        <v>0</v>
      </c>
      <c r="AF42" s="13">
        <v>0</v>
      </c>
      <c r="AG42" s="13">
        <v>0</v>
      </c>
      <c r="AH42" s="13">
        <v>0</v>
      </c>
      <c r="AI42" s="13">
        <v>0</v>
      </c>
      <c r="AJ42" s="13">
        <v>0</v>
      </c>
      <c r="AK42" s="13">
        <v>0</v>
      </c>
      <c r="AL42" s="13">
        <v>0</v>
      </c>
      <c r="AM42" s="13">
        <v>0</v>
      </c>
      <c r="AN42" s="13">
        <v>0</v>
      </c>
      <c r="AO42" s="13">
        <v>0</v>
      </c>
      <c r="AP42" s="13">
        <v>0</v>
      </c>
      <c r="AQ42" s="13">
        <v>0</v>
      </c>
      <c r="AR42" s="13">
        <v>0</v>
      </c>
      <c r="AS42" s="13">
        <v>0</v>
      </c>
      <c r="AT42" s="13">
        <v>0</v>
      </c>
      <c r="AU42" s="13">
        <v>0</v>
      </c>
      <c r="AV42" s="13">
        <v>0</v>
      </c>
      <c r="AW42" s="13">
        <v>0</v>
      </c>
      <c r="AX42" s="13">
        <v>0</v>
      </c>
      <c r="AY42" s="13">
        <v>0</v>
      </c>
      <c r="AZ42" s="13">
        <v>0</v>
      </c>
      <c r="BA42" s="13">
        <v>0</v>
      </c>
      <c r="BB42" s="13">
        <v>0</v>
      </c>
    </row>
    <row r="43" spans="1:54" x14ac:dyDescent="0.2">
      <c r="A43" s="12"/>
      <c r="B43" s="15"/>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row>
    <row r="44" spans="1:54" x14ac:dyDescent="0.2">
      <c r="A44" s="18" t="s">
        <v>207</v>
      </c>
      <c r="B44" s="18"/>
      <c r="C44" s="20">
        <v>36383</v>
      </c>
      <c r="D44" s="20">
        <v>38538</v>
      </c>
      <c r="E44" s="20">
        <v>32476</v>
      </c>
      <c r="F44" s="20">
        <v>40048</v>
      </c>
      <c r="G44" s="20">
        <v>42058</v>
      </c>
      <c r="H44" s="20">
        <v>41772</v>
      </c>
      <c r="I44" s="20">
        <v>42121</v>
      </c>
      <c r="J44" s="20">
        <v>40778</v>
      </c>
      <c r="K44" s="20">
        <v>41024</v>
      </c>
      <c r="L44" s="20">
        <v>41510</v>
      </c>
      <c r="M44" s="20">
        <v>42405</v>
      </c>
      <c r="N44" s="20">
        <v>44211</v>
      </c>
      <c r="O44" s="20">
        <v>42528</v>
      </c>
      <c r="P44" s="20">
        <v>44554</v>
      </c>
      <c r="Q44" s="20">
        <v>45173</v>
      </c>
      <c r="R44" s="20">
        <v>46378</v>
      </c>
      <c r="S44" s="20">
        <v>47770</v>
      </c>
      <c r="T44" s="20">
        <v>47744</v>
      </c>
      <c r="U44" s="20">
        <v>47129</v>
      </c>
      <c r="V44" s="20">
        <v>48322</v>
      </c>
      <c r="W44" s="20">
        <v>45531</v>
      </c>
      <c r="X44" s="20">
        <v>45890</v>
      </c>
      <c r="Y44" s="20">
        <v>43533</v>
      </c>
      <c r="Z44" s="20">
        <v>48701</v>
      </c>
      <c r="AA44" s="20">
        <v>44353</v>
      </c>
      <c r="AB44" s="20">
        <v>42029</v>
      </c>
      <c r="AC44" s="20">
        <v>41725</v>
      </c>
      <c r="AD44" s="20">
        <v>42476</v>
      </c>
      <c r="AE44" s="20">
        <v>40251</v>
      </c>
      <c r="AF44" s="20">
        <v>36148</v>
      </c>
      <c r="AG44" s="20">
        <v>34897</v>
      </c>
      <c r="AH44" s="20">
        <v>39056</v>
      </c>
      <c r="AI44" s="20">
        <v>38944</v>
      </c>
      <c r="AJ44" s="20">
        <v>28654</v>
      </c>
      <c r="AK44" s="20">
        <v>35325</v>
      </c>
      <c r="AL44" s="20">
        <v>38333</v>
      </c>
      <c r="AM44" s="20">
        <v>40509</v>
      </c>
      <c r="AN44" s="20">
        <v>39601</v>
      </c>
      <c r="AO44" s="20">
        <v>41353</v>
      </c>
      <c r="AP44" s="20">
        <v>39782</v>
      </c>
      <c r="AQ44" s="20">
        <v>40789</v>
      </c>
      <c r="AR44" s="20">
        <v>39034</v>
      </c>
      <c r="AS44" s="20">
        <v>43427</v>
      </c>
      <c r="AT44" s="20">
        <v>41398</v>
      </c>
      <c r="AU44" s="20">
        <v>22206</v>
      </c>
      <c r="AV44" s="20">
        <v>22020</v>
      </c>
      <c r="AW44" s="20">
        <v>42360</v>
      </c>
      <c r="AX44" s="20">
        <v>40504</v>
      </c>
      <c r="AY44" s="20">
        <v>40054</v>
      </c>
      <c r="AZ44" s="20">
        <v>40218</v>
      </c>
      <c r="BA44" s="20">
        <v>39925</v>
      </c>
      <c r="BB44" s="20">
        <v>29368</v>
      </c>
    </row>
    <row r="45" spans="1:54" x14ac:dyDescent="0.2">
      <c r="A45" s="12"/>
      <c r="B45" s="14"/>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row>
    <row r="46" spans="1:54" ht="13.5" thickBot="1" x14ac:dyDescent="0.25">
      <c r="A46" s="21" t="s">
        <v>208</v>
      </c>
      <c r="B46" s="22"/>
      <c r="C46" s="23">
        <v>96274</v>
      </c>
      <c r="D46" s="23">
        <v>98890</v>
      </c>
      <c r="E46" s="23">
        <v>83483</v>
      </c>
      <c r="F46" s="23">
        <v>101387</v>
      </c>
      <c r="G46" s="23">
        <v>106159</v>
      </c>
      <c r="H46" s="23">
        <v>108029</v>
      </c>
      <c r="I46" s="23">
        <v>107509</v>
      </c>
      <c r="J46" s="23">
        <v>109822</v>
      </c>
      <c r="K46" s="23">
        <v>102706</v>
      </c>
      <c r="L46" s="23">
        <v>103861</v>
      </c>
      <c r="M46" s="23">
        <v>110083</v>
      </c>
      <c r="N46" s="23">
        <v>109164</v>
      </c>
      <c r="O46" s="23">
        <v>104812</v>
      </c>
      <c r="P46" s="23">
        <v>111291</v>
      </c>
      <c r="Q46" s="23">
        <v>108641</v>
      </c>
      <c r="R46" s="23">
        <v>112010</v>
      </c>
      <c r="S46" s="23">
        <v>111333</v>
      </c>
      <c r="T46" s="23">
        <v>112029</v>
      </c>
      <c r="U46" s="23">
        <v>113896</v>
      </c>
      <c r="V46" s="23">
        <v>112757</v>
      </c>
      <c r="W46" s="23">
        <v>103554</v>
      </c>
      <c r="X46" s="23">
        <v>107482</v>
      </c>
      <c r="Y46" s="23">
        <v>103785</v>
      </c>
      <c r="Z46" s="23">
        <v>111296</v>
      </c>
      <c r="AA46" s="23">
        <v>104907</v>
      </c>
      <c r="AB46" s="23">
        <v>106536</v>
      </c>
      <c r="AC46" s="23">
        <v>105852</v>
      </c>
      <c r="AD46" s="23">
        <v>103775</v>
      </c>
      <c r="AE46" s="23">
        <v>103915</v>
      </c>
      <c r="AF46" s="23">
        <v>93446</v>
      </c>
      <c r="AG46" s="23">
        <v>98346</v>
      </c>
      <c r="AH46" s="23">
        <v>101361</v>
      </c>
      <c r="AI46" s="23">
        <v>98174</v>
      </c>
      <c r="AJ46" s="23">
        <v>77570</v>
      </c>
      <c r="AK46" s="23">
        <v>96150</v>
      </c>
      <c r="AL46" s="23">
        <v>99803</v>
      </c>
      <c r="AM46" s="23">
        <v>102905</v>
      </c>
      <c r="AN46" s="23">
        <v>102238</v>
      </c>
      <c r="AO46" s="23">
        <v>108001</v>
      </c>
      <c r="AP46" s="23">
        <v>105470</v>
      </c>
      <c r="AQ46" s="23">
        <v>109345</v>
      </c>
      <c r="AR46" s="23">
        <v>103848</v>
      </c>
      <c r="AS46" s="23">
        <v>110086</v>
      </c>
      <c r="AT46" s="23">
        <v>108593</v>
      </c>
      <c r="AU46" s="23">
        <v>83949</v>
      </c>
      <c r="AV46" s="23">
        <v>86562</v>
      </c>
      <c r="AW46" s="23">
        <v>106870</v>
      </c>
      <c r="AX46" s="23">
        <v>102814</v>
      </c>
      <c r="AY46" s="23">
        <v>102402</v>
      </c>
      <c r="AZ46" s="23">
        <v>102835</v>
      </c>
      <c r="BA46" s="23">
        <v>101838</v>
      </c>
      <c r="BB46" s="23">
        <v>84883</v>
      </c>
    </row>
    <row r="47" spans="1:54" ht="13.5" thickTop="1" x14ac:dyDescent="0.2"/>
    <row r="48" spans="1:54" x14ac:dyDescent="0.2">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row>
    <row r="49" spans="1:54" ht="13.5" thickBot="1" x14ac:dyDescent="0.25">
      <c r="A49" s="46" t="s">
        <v>209</v>
      </c>
      <c r="B49" s="22"/>
      <c r="C49" s="23">
        <v>4090.8781409999992</v>
      </c>
      <c r="D49" s="23">
        <v>4307.3361500000001</v>
      </c>
      <c r="E49" s="23">
        <v>3730.5938749999996</v>
      </c>
      <c r="F49" s="23">
        <v>4514.7873339999996</v>
      </c>
      <c r="G49" s="23">
        <v>4834.4827110000006</v>
      </c>
      <c r="H49" s="23">
        <v>4953.5331349999997</v>
      </c>
      <c r="I49" s="23">
        <v>4858.815692000001</v>
      </c>
      <c r="J49" s="23">
        <v>5058.6160229999996</v>
      </c>
      <c r="K49" s="23">
        <v>4636.8472130000009</v>
      </c>
      <c r="L49" s="23">
        <v>4541.7769829999997</v>
      </c>
      <c r="M49" s="23">
        <v>4860.2541649999994</v>
      </c>
      <c r="N49" s="23">
        <v>4755.5621719999999</v>
      </c>
      <c r="O49" s="23">
        <v>4567.5002750000003</v>
      </c>
      <c r="P49" s="23">
        <v>4947.7811059999995</v>
      </c>
      <c r="Q49" s="23">
        <v>4714.6467549999988</v>
      </c>
      <c r="R49" s="23">
        <v>4841.409122</v>
      </c>
      <c r="S49" s="23">
        <v>4847.1457680000003</v>
      </c>
      <c r="T49" s="23">
        <v>4740.7812410000006</v>
      </c>
      <c r="U49" s="23">
        <v>4864.5899579999996</v>
      </c>
      <c r="V49" s="23">
        <v>4754.7918849999996</v>
      </c>
      <c r="W49" s="23">
        <v>4113.8932690000001</v>
      </c>
      <c r="X49" s="23">
        <v>4191.9061010000005</v>
      </c>
      <c r="Y49" s="23">
        <v>4368.8004719999999</v>
      </c>
      <c r="Z49" s="23">
        <v>4568.1123029999999</v>
      </c>
      <c r="AA49" s="23">
        <v>4348.9662470000003</v>
      </c>
      <c r="AB49" s="23">
        <v>4577.8015190000015</v>
      </c>
      <c r="AC49" s="23">
        <v>4504.4259789999987</v>
      </c>
      <c r="AD49" s="23">
        <v>4338.8769919999995</v>
      </c>
      <c r="AE49" s="23">
        <v>4621.2555259999999</v>
      </c>
      <c r="AF49" s="23">
        <v>3917.445569</v>
      </c>
      <c r="AG49" s="23">
        <v>4410.0011130000003</v>
      </c>
      <c r="AH49" s="23">
        <v>4391.2700239999995</v>
      </c>
      <c r="AI49" s="23">
        <v>4545.3360130000001</v>
      </c>
      <c r="AJ49" s="23">
        <v>3057.429396</v>
      </c>
      <c r="AK49" s="23">
        <v>4170.6450239999995</v>
      </c>
      <c r="AL49" s="23">
        <v>4333.3197810000001</v>
      </c>
      <c r="AM49" s="23">
        <v>4536.2349800000011</v>
      </c>
      <c r="AN49" s="23">
        <v>4473.9510399999999</v>
      </c>
      <c r="AO49" s="23">
        <v>4727.0932089999997</v>
      </c>
      <c r="AP49" s="23">
        <v>4547.8092230000002</v>
      </c>
      <c r="AQ49" s="23">
        <v>4776.6165879999999</v>
      </c>
      <c r="AR49" s="23">
        <v>4556.8047720000004</v>
      </c>
      <c r="AS49" s="23">
        <v>4760.323093</v>
      </c>
      <c r="AT49" s="23">
        <v>4835.5371680000007</v>
      </c>
      <c r="AU49" s="23">
        <v>3997.1380159999994</v>
      </c>
      <c r="AV49" s="23">
        <v>4389.4753550000005</v>
      </c>
      <c r="AW49" s="23">
        <v>4928.8660739999996</v>
      </c>
      <c r="AX49" s="23">
        <v>4578.6254099999996</v>
      </c>
      <c r="AY49" s="23">
        <v>4489.6559449999995</v>
      </c>
      <c r="AZ49" s="23">
        <v>4509.8484590000007</v>
      </c>
      <c r="BA49" s="23">
        <v>4399.1929400000008</v>
      </c>
      <c r="BB49" s="23">
        <v>3815.6411120000002</v>
      </c>
    </row>
    <row r="50" spans="1:54" ht="13.5" thickTop="1" x14ac:dyDescent="0.2"/>
    <row r="51" spans="1:54" x14ac:dyDescent="0.2">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c r="BB51" s="43"/>
    </row>
    <row r="52" spans="1:54" x14ac:dyDescent="0.2">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c r="BB52" s="43"/>
    </row>
  </sheetData>
  <sheetProtection algorithmName="SHA-512" hashValue="ZaC/QvQDk7zFhlsjNCm9c7C0aAndIL3bnH5O+6rxsG3gFQWRnUorojH/foQxjCxSXALX7vViqNQxzEQHTFkABg==" saltValue="mocchG/K9oWfO7iZvRs/AA==" spinCount="100000" sheet="1" objects="1" scenarios="1"/>
  <mergeCells count="1">
    <mergeCell ref="A1:BC1"/>
  </mergeCells>
  <phoneticPr fontId="0" type="noConversion"/>
  <pageMargins left="0.17" right="0.17" top="0.17" bottom="0.5" header="0.17" footer="0.5"/>
  <pageSetup scale="70" fitToWidth="0" orientation="landscape" r:id="rId1"/>
  <headerFooter alignWithMargins="0"/>
  <colBreaks count="3" manualBreakCount="3">
    <brk id="15" max="48" man="1"/>
    <brk id="28" max="48" man="1"/>
    <brk id="41" max="48"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52ADF7-2A4E-48DA-927C-F881F6E29BF3}">
  <sheetPr codeName="Sheet6">
    <tabColor rgb="FFFF0000"/>
  </sheetPr>
  <dimension ref="A1:BC50"/>
  <sheetViews>
    <sheetView workbookViewId="0">
      <selection activeCell="C22" sqref="C22"/>
    </sheetView>
  </sheetViews>
  <sheetFormatPr defaultColWidth="6.7109375" defaultRowHeight="12.75" x14ac:dyDescent="0.2"/>
  <cols>
    <col min="1" max="1" width="7.28515625" style="1" customWidth="1"/>
    <col min="2" max="2" width="53" style="1" bestFit="1" customWidth="1"/>
    <col min="3" max="3" width="9.5703125" style="3" bestFit="1" customWidth="1"/>
    <col min="4" max="53" width="9.42578125" style="1" customWidth="1"/>
    <col min="54" max="54" width="8.85546875" style="1" customWidth="1"/>
    <col min="55" max="16384" width="6.7109375" style="1"/>
  </cols>
  <sheetData>
    <row r="1" spans="1:55" ht="49.15" customHeight="1" x14ac:dyDescent="0.4">
      <c r="A1" s="143" t="s">
        <v>211</v>
      </c>
      <c r="B1" s="144"/>
      <c r="C1" s="144"/>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c r="AH1" s="144"/>
      <c r="AI1" s="144"/>
      <c r="AJ1" s="144"/>
      <c r="AK1" s="144"/>
      <c r="AL1" s="144"/>
      <c r="AM1" s="144"/>
      <c r="AN1" s="144"/>
      <c r="AO1" s="144"/>
      <c r="AP1" s="144"/>
      <c r="AQ1" s="144"/>
      <c r="AR1" s="144"/>
      <c r="AS1" s="144"/>
      <c r="AT1" s="144"/>
      <c r="AU1" s="144"/>
      <c r="AV1" s="144"/>
      <c r="AW1" s="144"/>
      <c r="AX1" s="144"/>
      <c r="AY1" s="144"/>
      <c r="AZ1" s="144"/>
      <c r="BA1" s="144"/>
      <c r="BB1" s="144"/>
      <c r="BC1" s="144"/>
    </row>
    <row r="2" spans="1:55" ht="13.5" thickBot="1" x14ac:dyDescent="0.25">
      <c r="A2" s="4"/>
      <c r="B2" s="7" t="s">
        <v>178</v>
      </c>
      <c r="C2" s="5">
        <v>1</v>
      </c>
      <c r="D2" s="5">
        <v>2</v>
      </c>
      <c r="E2" s="5">
        <v>3</v>
      </c>
      <c r="F2" s="5">
        <v>4</v>
      </c>
      <c r="G2" s="5">
        <v>5</v>
      </c>
      <c r="H2" s="5">
        <v>6</v>
      </c>
      <c r="I2" s="5">
        <v>7</v>
      </c>
      <c r="J2" s="5">
        <v>8</v>
      </c>
      <c r="K2" s="5">
        <v>9</v>
      </c>
      <c r="L2" s="5">
        <v>10</v>
      </c>
      <c r="M2" s="5">
        <v>11</v>
      </c>
      <c r="N2" s="5">
        <v>12</v>
      </c>
      <c r="O2" s="5">
        <v>13</v>
      </c>
      <c r="P2" s="5">
        <v>14</v>
      </c>
      <c r="Q2" s="5">
        <v>15</v>
      </c>
      <c r="R2" s="5">
        <v>16</v>
      </c>
      <c r="S2" s="5">
        <v>17</v>
      </c>
      <c r="T2" s="5">
        <v>18</v>
      </c>
      <c r="U2" s="5">
        <v>19</v>
      </c>
      <c r="V2" s="5">
        <v>20</v>
      </c>
      <c r="W2" s="5">
        <v>21</v>
      </c>
      <c r="X2" s="5">
        <v>22</v>
      </c>
      <c r="Y2" s="5">
        <v>23</v>
      </c>
      <c r="Z2" s="5">
        <v>24</v>
      </c>
      <c r="AA2" s="5">
        <v>25</v>
      </c>
      <c r="AB2" s="5">
        <v>26</v>
      </c>
      <c r="AC2" s="5">
        <v>27</v>
      </c>
      <c r="AD2" s="5">
        <v>28</v>
      </c>
      <c r="AE2" s="5">
        <v>29</v>
      </c>
      <c r="AF2" s="5">
        <v>30</v>
      </c>
      <c r="AG2" s="5">
        <v>31</v>
      </c>
      <c r="AH2" s="5">
        <v>32</v>
      </c>
      <c r="AI2" s="5">
        <v>33</v>
      </c>
      <c r="AJ2" s="5">
        <v>34</v>
      </c>
      <c r="AK2" s="5">
        <v>35</v>
      </c>
      <c r="AL2" s="5">
        <v>36</v>
      </c>
      <c r="AM2" s="5">
        <v>37</v>
      </c>
      <c r="AN2" s="5">
        <v>38</v>
      </c>
      <c r="AO2" s="5">
        <v>39</v>
      </c>
      <c r="AP2" s="5">
        <v>40</v>
      </c>
      <c r="AQ2" s="5">
        <v>41</v>
      </c>
      <c r="AR2" s="5">
        <v>42</v>
      </c>
      <c r="AS2" s="5">
        <v>43</v>
      </c>
      <c r="AT2" s="5">
        <v>44</v>
      </c>
      <c r="AU2" s="5">
        <v>45</v>
      </c>
      <c r="AV2" s="5">
        <v>46</v>
      </c>
      <c r="AW2" s="5">
        <v>47</v>
      </c>
      <c r="AX2" s="5">
        <v>48</v>
      </c>
      <c r="AY2" s="5">
        <v>49</v>
      </c>
      <c r="AZ2" s="5">
        <v>50</v>
      </c>
      <c r="BA2" s="5">
        <v>51</v>
      </c>
      <c r="BB2" s="5">
        <v>52</v>
      </c>
      <c r="BC2" s="42"/>
    </row>
    <row r="3" spans="1:55" s="2" customFormat="1" ht="24.75" thickBot="1" x14ac:dyDescent="0.25">
      <c r="A3" s="6"/>
      <c r="B3" s="50" t="s">
        <v>179</v>
      </c>
      <c r="C3" s="51">
        <v>44927</v>
      </c>
      <c r="D3" s="51">
        <v>44934</v>
      </c>
      <c r="E3" s="51">
        <v>44941</v>
      </c>
      <c r="F3" s="51">
        <v>44948</v>
      </c>
      <c r="G3" s="51">
        <v>44955</v>
      </c>
      <c r="H3" s="51">
        <v>44962</v>
      </c>
      <c r="I3" s="51">
        <v>44969</v>
      </c>
      <c r="J3" s="51">
        <v>44976</v>
      </c>
      <c r="K3" s="51">
        <v>44983</v>
      </c>
      <c r="L3" s="51">
        <v>44990</v>
      </c>
      <c r="M3" s="51">
        <v>44997</v>
      </c>
      <c r="N3" s="51">
        <v>45004</v>
      </c>
      <c r="O3" s="51">
        <v>45011</v>
      </c>
      <c r="P3" s="51">
        <v>45018</v>
      </c>
      <c r="Q3" s="51">
        <v>45025</v>
      </c>
      <c r="R3" s="51">
        <v>45032</v>
      </c>
      <c r="S3" s="51">
        <v>45039</v>
      </c>
      <c r="T3" s="51">
        <v>45046</v>
      </c>
      <c r="U3" s="51">
        <v>45053</v>
      </c>
      <c r="V3" s="51">
        <v>45060</v>
      </c>
      <c r="W3" s="51">
        <v>45067</v>
      </c>
      <c r="X3" s="51">
        <v>45074</v>
      </c>
      <c r="Y3" s="51">
        <v>45081</v>
      </c>
      <c r="Z3" s="51">
        <v>45088</v>
      </c>
      <c r="AA3" s="51">
        <v>45095</v>
      </c>
      <c r="AB3" s="51">
        <v>45102</v>
      </c>
      <c r="AC3" s="51">
        <v>45109</v>
      </c>
      <c r="AD3" s="51">
        <v>45116</v>
      </c>
      <c r="AE3" s="51">
        <v>45123</v>
      </c>
      <c r="AF3" s="51">
        <v>45130</v>
      </c>
      <c r="AG3" s="51">
        <v>45137</v>
      </c>
      <c r="AH3" s="51">
        <v>45144</v>
      </c>
      <c r="AI3" s="51">
        <v>45151</v>
      </c>
      <c r="AJ3" s="51">
        <v>45158</v>
      </c>
      <c r="AK3" s="51">
        <v>45165</v>
      </c>
      <c r="AL3" s="51">
        <v>45172</v>
      </c>
      <c r="AM3" s="51">
        <v>45179</v>
      </c>
      <c r="AN3" s="51">
        <v>45186</v>
      </c>
      <c r="AO3" s="51">
        <v>45193</v>
      </c>
      <c r="AP3" s="51">
        <v>45200</v>
      </c>
      <c r="AQ3" s="51">
        <v>45207</v>
      </c>
      <c r="AR3" s="51">
        <v>45214</v>
      </c>
      <c r="AS3" s="51">
        <v>45221</v>
      </c>
      <c r="AT3" s="51">
        <v>45228</v>
      </c>
      <c r="AU3" s="51">
        <v>45235</v>
      </c>
      <c r="AV3" s="51">
        <v>45242</v>
      </c>
      <c r="AW3" s="51">
        <v>45249</v>
      </c>
      <c r="AX3" s="51">
        <v>45256</v>
      </c>
      <c r="AY3" s="51">
        <v>45263</v>
      </c>
      <c r="AZ3" s="51">
        <v>45270</v>
      </c>
      <c r="BA3" s="51">
        <v>45277</v>
      </c>
      <c r="BB3" s="51">
        <v>45284</v>
      </c>
      <c r="BC3" s="53"/>
    </row>
    <row r="4" spans="1:55" x14ac:dyDescent="0.2">
      <c r="A4" s="9" t="s">
        <v>180</v>
      </c>
      <c r="B4" s="10"/>
      <c r="C4" s="11">
        <v>5406</v>
      </c>
      <c r="D4" s="11">
        <v>5886</v>
      </c>
      <c r="E4" s="11">
        <v>5715</v>
      </c>
      <c r="F4" s="11">
        <v>6236</v>
      </c>
      <c r="G4" s="11">
        <v>5794</v>
      </c>
      <c r="H4" s="11">
        <v>5774</v>
      </c>
      <c r="I4" s="11">
        <v>6125</v>
      </c>
      <c r="J4" s="11">
        <v>5869</v>
      </c>
      <c r="K4" s="11">
        <v>6155</v>
      </c>
      <c r="L4" s="11">
        <v>6144</v>
      </c>
      <c r="M4" s="11">
        <v>6308</v>
      </c>
      <c r="N4" s="11">
        <v>6250</v>
      </c>
      <c r="O4" s="11">
        <v>6065</v>
      </c>
      <c r="P4" s="11">
        <v>5636</v>
      </c>
      <c r="Q4" s="11">
        <v>6047</v>
      </c>
      <c r="R4" s="11">
        <v>6065</v>
      </c>
      <c r="S4" s="11">
        <v>5920</v>
      </c>
      <c r="T4" s="11">
        <v>5612</v>
      </c>
      <c r="U4" s="11">
        <v>5552</v>
      </c>
      <c r="V4" s="11">
        <v>5762</v>
      </c>
      <c r="W4" s="11">
        <v>5602</v>
      </c>
      <c r="X4" s="11">
        <v>5817</v>
      </c>
      <c r="Y4" s="11">
        <v>5467</v>
      </c>
      <c r="Z4" s="11">
        <v>5343</v>
      </c>
      <c r="AA4" s="11">
        <v>5598</v>
      </c>
      <c r="AB4" s="11">
        <v>5408</v>
      </c>
      <c r="AC4" s="11">
        <v>5127</v>
      </c>
      <c r="AD4" s="11">
        <v>5417</v>
      </c>
      <c r="AE4" s="11">
        <v>5317</v>
      </c>
      <c r="AF4" s="11">
        <v>5699</v>
      </c>
      <c r="AG4" s="11">
        <v>5608</v>
      </c>
      <c r="AH4" s="11">
        <v>5210</v>
      </c>
      <c r="AI4" s="11">
        <v>5475</v>
      </c>
      <c r="AJ4" s="11">
        <v>5852</v>
      </c>
      <c r="AK4" s="11">
        <v>5891</v>
      </c>
      <c r="AL4" s="11">
        <v>5465</v>
      </c>
      <c r="AM4" s="11">
        <v>5659</v>
      </c>
      <c r="AN4" s="11">
        <v>5672</v>
      </c>
      <c r="AO4" s="11">
        <v>5504</v>
      </c>
      <c r="AP4" s="11">
        <v>5763</v>
      </c>
      <c r="AQ4" s="11">
        <v>5238</v>
      </c>
      <c r="AR4" s="11">
        <v>5254</v>
      </c>
      <c r="AS4" s="11">
        <v>5389</v>
      </c>
      <c r="AT4" s="11">
        <v>5785</v>
      </c>
      <c r="AU4" s="11">
        <v>5495</v>
      </c>
      <c r="AV4" s="11">
        <v>5918</v>
      </c>
      <c r="AW4" s="11">
        <v>5743</v>
      </c>
      <c r="AX4" s="11">
        <v>5870</v>
      </c>
      <c r="AY4" s="11">
        <v>5581</v>
      </c>
      <c r="AZ4" s="11">
        <v>5705</v>
      </c>
      <c r="BA4" s="11">
        <v>5518</v>
      </c>
      <c r="BB4" s="11">
        <v>4185</v>
      </c>
      <c r="BC4" s="42"/>
    </row>
    <row r="5" spans="1:55" x14ac:dyDescent="0.2">
      <c r="A5" s="12"/>
      <c r="B5" s="15" t="s">
        <v>181</v>
      </c>
      <c r="C5" s="13">
        <v>2035</v>
      </c>
      <c r="D5" s="13">
        <v>2548</v>
      </c>
      <c r="E5" s="13">
        <v>2518</v>
      </c>
      <c r="F5" s="13">
        <v>2562</v>
      </c>
      <c r="G5" s="13">
        <v>2381</v>
      </c>
      <c r="H5" s="13">
        <v>2475</v>
      </c>
      <c r="I5" s="13">
        <v>2586</v>
      </c>
      <c r="J5" s="13">
        <v>2415</v>
      </c>
      <c r="K5" s="13">
        <v>2539</v>
      </c>
      <c r="L5" s="13">
        <v>2565</v>
      </c>
      <c r="M5" s="13">
        <v>2650</v>
      </c>
      <c r="N5" s="13">
        <v>2756</v>
      </c>
      <c r="O5" s="13">
        <v>2651</v>
      </c>
      <c r="P5" s="13">
        <v>2493</v>
      </c>
      <c r="Q5" s="13">
        <v>2665</v>
      </c>
      <c r="R5" s="13">
        <v>2852</v>
      </c>
      <c r="S5" s="13">
        <v>2733</v>
      </c>
      <c r="T5" s="13">
        <v>2678</v>
      </c>
      <c r="U5" s="13">
        <v>2483</v>
      </c>
      <c r="V5" s="13">
        <v>2701</v>
      </c>
      <c r="W5" s="13">
        <v>2375</v>
      </c>
      <c r="X5" s="13">
        <v>2492</v>
      </c>
      <c r="Y5" s="13">
        <v>2352</v>
      </c>
      <c r="Z5" s="13">
        <v>2469</v>
      </c>
      <c r="AA5" s="13">
        <v>2391</v>
      </c>
      <c r="AB5" s="13">
        <v>2365</v>
      </c>
      <c r="AC5" s="13">
        <v>2392</v>
      </c>
      <c r="AD5" s="13">
        <v>2532</v>
      </c>
      <c r="AE5" s="13">
        <v>2219</v>
      </c>
      <c r="AF5" s="13">
        <v>2329</v>
      </c>
      <c r="AG5" s="13">
        <v>2229</v>
      </c>
      <c r="AH5" s="13">
        <v>2180</v>
      </c>
      <c r="AI5" s="13">
        <v>2375</v>
      </c>
      <c r="AJ5" s="13">
        <v>2440</v>
      </c>
      <c r="AK5" s="13">
        <v>2472</v>
      </c>
      <c r="AL5" s="13">
        <v>2231</v>
      </c>
      <c r="AM5" s="13">
        <v>2468</v>
      </c>
      <c r="AN5" s="13">
        <v>2494</v>
      </c>
      <c r="AO5" s="13">
        <v>2443</v>
      </c>
      <c r="AP5" s="13">
        <v>2469</v>
      </c>
      <c r="AQ5" s="13">
        <v>2255</v>
      </c>
      <c r="AR5" s="13">
        <v>2375</v>
      </c>
      <c r="AS5" s="13">
        <v>2397</v>
      </c>
      <c r="AT5" s="13">
        <v>2467</v>
      </c>
      <c r="AU5" s="13">
        <v>2306</v>
      </c>
      <c r="AV5" s="13">
        <v>2586</v>
      </c>
      <c r="AW5" s="13">
        <v>2420</v>
      </c>
      <c r="AX5" s="13">
        <v>2406</v>
      </c>
      <c r="AY5" s="13">
        <v>2412</v>
      </c>
      <c r="AZ5" s="13">
        <v>2482</v>
      </c>
      <c r="BA5" s="13">
        <v>2366</v>
      </c>
      <c r="BB5" s="13">
        <v>1184</v>
      </c>
      <c r="BC5" s="42"/>
    </row>
    <row r="6" spans="1:55" x14ac:dyDescent="0.2">
      <c r="A6" s="12"/>
      <c r="B6" s="15" t="s">
        <v>182</v>
      </c>
      <c r="C6" s="13">
        <v>801</v>
      </c>
      <c r="D6" s="13">
        <v>801</v>
      </c>
      <c r="E6" s="13">
        <v>677</v>
      </c>
      <c r="F6" s="13">
        <v>873</v>
      </c>
      <c r="G6" s="13">
        <v>816</v>
      </c>
      <c r="H6" s="13">
        <v>914</v>
      </c>
      <c r="I6" s="13">
        <v>912</v>
      </c>
      <c r="J6" s="13">
        <v>799</v>
      </c>
      <c r="K6" s="13">
        <v>910</v>
      </c>
      <c r="L6" s="13">
        <v>844</v>
      </c>
      <c r="M6" s="13">
        <v>887</v>
      </c>
      <c r="N6" s="13">
        <v>943</v>
      </c>
      <c r="O6" s="13">
        <v>891</v>
      </c>
      <c r="P6" s="13">
        <v>780</v>
      </c>
      <c r="Q6" s="13">
        <v>924</v>
      </c>
      <c r="R6" s="13">
        <v>828</v>
      </c>
      <c r="S6" s="13">
        <v>902</v>
      </c>
      <c r="T6" s="13">
        <v>750</v>
      </c>
      <c r="U6" s="13">
        <v>789</v>
      </c>
      <c r="V6" s="13">
        <v>741</v>
      </c>
      <c r="W6" s="13">
        <v>763</v>
      </c>
      <c r="X6" s="13">
        <v>912</v>
      </c>
      <c r="Y6" s="13">
        <v>759</v>
      </c>
      <c r="Z6" s="13">
        <v>713</v>
      </c>
      <c r="AA6" s="13">
        <v>806</v>
      </c>
      <c r="AB6" s="13">
        <v>779</v>
      </c>
      <c r="AC6" s="13">
        <v>393</v>
      </c>
      <c r="AD6" s="13">
        <v>665</v>
      </c>
      <c r="AE6" s="13">
        <v>823</v>
      </c>
      <c r="AF6" s="13">
        <v>878</v>
      </c>
      <c r="AG6" s="13">
        <v>843</v>
      </c>
      <c r="AH6" s="13">
        <v>770</v>
      </c>
      <c r="AI6" s="13">
        <v>784</v>
      </c>
      <c r="AJ6" s="13">
        <v>859</v>
      </c>
      <c r="AK6" s="13">
        <v>850</v>
      </c>
      <c r="AL6" s="13">
        <v>774</v>
      </c>
      <c r="AM6" s="13">
        <v>862</v>
      </c>
      <c r="AN6" s="13">
        <v>874</v>
      </c>
      <c r="AO6" s="13">
        <v>817</v>
      </c>
      <c r="AP6" s="13">
        <v>810</v>
      </c>
      <c r="AQ6" s="13">
        <v>713</v>
      </c>
      <c r="AR6" s="13">
        <v>707</v>
      </c>
      <c r="AS6" s="13">
        <v>656</v>
      </c>
      <c r="AT6" s="13">
        <v>967</v>
      </c>
      <c r="AU6" s="13">
        <v>800</v>
      </c>
      <c r="AV6" s="13">
        <v>878</v>
      </c>
      <c r="AW6" s="13">
        <v>778</v>
      </c>
      <c r="AX6" s="13">
        <v>833</v>
      </c>
      <c r="AY6" s="13">
        <v>815</v>
      </c>
      <c r="AZ6" s="13">
        <v>762</v>
      </c>
      <c r="BA6" s="13">
        <v>621</v>
      </c>
      <c r="BB6" s="13">
        <v>442</v>
      </c>
      <c r="BC6" s="42"/>
    </row>
    <row r="7" spans="1:55" x14ac:dyDescent="0.2">
      <c r="A7" s="12"/>
      <c r="B7" s="15" t="s">
        <v>183</v>
      </c>
      <c r="C7" s="13">
        <v>2570</v>
      </c>
      <c r="D7" s="13">
        <v>2537</v>
      </c>
      <c r="E7" s="13">
        <v>2520</v>
      </c>
      <c r="F7" s="13">
        <v>2801</v>
      </c>
      <c r="G7" s="13">
        <v>2597</v>
      </c>
      <c r="H7" s="13">
        <v>2385</v>
      </c>
      <c r="I7" s="13">
        <v>2627</v>
      </c>
      <c r="J7" s="13">
        <v>2655</v>
      </c>
      <c r="K7" s="13">
        <v>2706</v>
      </c>
      <c r="L7" s="13">
        <v>2735</v>
      </c>
      <c r="M7" s="13">
        <v>2771</v>
      </c>
      <c r="N7" s="13">
        <v>2551</v>
      </c>
      <c r="O7" s="13">
        <v>2523</v>
      </c>
      <c r="P7" s="13">
        <v>2363</v>
      </c>
      <c r="Q7" s="13">
        <v>2458</v>
      </c>
      <c r="R7" s="13">
        <v>2385</v>
      </c>
      <c r="S7" s="13">
        <v>2285</v>
      </c>
      <c r="T7" s="13">
        <v>2184</v>
      </c>
      <c r="U7" s="13">
        <v>2280</v>
      </c>
      <c r="V7" s="13">
        <v>2320</v>
      </c>
      <c r="W7" s="13">
        <v>2464</v>
      </c>
      <c r="X7" s="13">
        <v>2413</v>
      </c>
      <c r="Y7" s="13">
        <v>2356</v>
      </c>
      <c r="Z7" s="13">
        <v>2161</v>
      </c>
      <c r="AA7" s="13">
        <v>2401</v>
      </c>
      <c r="AB7" s="13">
        <v>2264</v>
      </c>
      <c r="AC7" s="13">
        <v>2342</v>
      </c>
      <c r="AD7" s="13">
        <v>2220</v>
      </c>
      <c r="AE7" s="13">
        <v>2275</v>
      </c>
      <c r="AF7" s="13">
        <v>2492</v>
      </c>
      <c r="AG7" s="13">
        <v>2536</v>
      </c>
      <c r="AH7" s="13">
        <v>2260</v>
      </c>
      <c r="AI7" s="13">
        <v>2316</v>
      </c>
      <c r="AJ7" s="13">
        <v>2553</v>
      </c>
      <c r="AK7" s="13">
        <v>2569</v>
      </c>
      <c r="AL7" s="13">
        <v>2460</v>
      </c>
      <c r="AM7" s="13">
        <v>2329</v>
      </c>
      <c r="AN7" s="13">
        <v>2304</v>
      </c>
      <c r="AO7" s="13">
        <v>2244</v>
      </c>
      <c r="AP7" s="13">
        <v>2484</v>
      </c>
      <c r="AQ7" s="13">
        <v>2270</v>
      </c>
      <c r="AR7" s="13">
        <v>2172</v>
      </c>
      <c r="AS7" s="13">
        <v>2336</v>
      </c>
      <c r="AT7" s="13">
        <v>2351</v>
      </c>
      <c r="AU7" s="13">
        <v>2389</v>
      </c>
      <c r="AV7" s="13">
        <v>2454</v>
      </c>
      <c r="AW7" s="13">
        <v>2545</v>
      </c>
      <c r="AX7" s="13">
        <v>2631</v>
      </c>
      <c r="AY7" s="13">
        <v>2354</v>
      </c>
      <c r="AZ7" s="13">
        <v>2461</v>
      </c>
      <c r="BA7" s="13">
        <v>2531</v>
      </c>
      <c r="BB7" s="13">
        <v>2559</v>
      </c>
      <c r="BC7" s="42"/>
    </row>
    <row r="8" spans="1:55" x14ac:dyDescent="0.2">
      <c r="A8" s="12"/>
      <c r="B8" s="15"/>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42"/>
    </row>
    <row r="9" spans="1:55" x14ac:dyDescent="0.2">
      <c r="A9" s="16" t="s">
        <v>184</v>
      </c>
      <c r="B9" s="12"/>
      <c r="C9" s="11">
        <v>14503</v>
      </c>
      <c r="D9" s="11">
        <v>16022</v>
      </c>
      <c r="E9" s="11">
        <v>16105</v>
      </c>
      <c r="F9" s="11">
        <v>16118</v>
      </c>
      <c r="G9" s="11">
        <v>15243</v>
      </c>
      <c r="H9" s="11">
        <v>17390</v>
      </c>
      <c r="I9" s="11">
        <v>16388</v>
      </c>
      <c r="J9" s="11">
        <v>16282</v>
      </c>
      <c r="K9" s="11">
        <v>15885</v>
      </c>
      <c r="L9" s="11">
        <v>16077</v>
      </c>
      <c r="M9" s="11">
        <v>15917</v>
      </c>
      <c r="N9" s="11">
        <v>16247</v>
      </c>
      <c r="O9" s="11">
        <v>14795</v>
      </c>
      <c r="P9" s="11">
        <v>15115</v>
      </c>
      <c r="Q9" s="11">
        <v>15512</v>
      </c>
      <c r="R9" s="11">
        <v>15732</v>
      </c>
      <c r="S9" s="11">
        <v>16138</v>
      </c>
      <c r="T9" s="11">
        <v>15334</v>
      </c>
      <c r="U9" s="11">
        <v>16003</v>
      </c>
      <c r="V9" s="11">
        <v>15769</v>
      </c>
      <c r="W9" s="11">
        <v>16082</v>
      </c>
      <c r="X9" s="11">
        <v>15466</v>
      </c>
      <c r="Y9" s="11">
        <v>15950</v>
      </c>
      <c r="Z9" s="11">
        <v>14333</v>
      </c>
      <c r="AA9" s="11">
        <v>15284</v>
      </c>
      <c r="AB9" s="11">
        <v>14185</v>
      </c>
      <c r="AC9" s="11">
        <v>14061</v>
      </c>
      <c r="AD9" s="11">
        <v>14161</v>
      </c>
      <c r="AE9" s="11">
        <v>15452</v>
      </c>
      <c r="AF9" s="11">
        <v>15444</v>
      </c>
      <c r="AG9" s="11">
        <v>15676</v>
      </c>
      <c r="AH9" s="11">
        <v>15675</v>
      </c>
      <c r="AI9" s="11">
        <v>17287</v>
      </c>
      <c r="AJ9" s="11">
        <v>16002</v>
      </c>
      <c r="AK9" s="11">
        <v>16782</v>
      </c>
      <c r="AL9" s="11">
        <v>16222</v>
      </c>
      <c r="AM9" s="11">
        <v>15921</v>
      </c>
      <c r="AN9" s="11">
        <v>16682</v>
      </c>
      <c r="AO9" s="11">
        <v>15990</v>
      </c>
      <c r="AP9" s="11">
        <v>16228</v>
      </c>
      <c r="AQ9" s="11">
        <v>16451</v>
      </c>
      <c r="AR9" s="11">
        <v>16394</v>
      </c>
      <c r="AS9" s="11">
        <v>16583</v>
      </c>
      <c r="AT9" s="11">
        <v>17177</v>
      </c>
      <c r="AU9" s="11">
        <v>17607</v>
      </c>
      <c r="AV9" s="11">
        <v>18161</v>
      </c>
      <c r="AW9" s="11">
        <v>17004</v>
      </c>
      <c r="AX9" s="11">
        <v>17647</v>
      </c>
      <c r="AY9" s="11">
        <v>17174</v>
      </c>
      <c r="AZ9" s="11">
        <v>17621</v>
      </c>
      <c r="BA9" s="11">
        <v>18441</v>
      </c>
      <c r="BB9" s="11">
        <v>14734</v>
      </c>
      <c r="BC9" s="42"/>
    </row>
    <row r="10" spans="1:55" x14ac:dyDescent="0.2">
      <c r="A10" s="12"/>
      <c r="B10" s="15" t="s">
        <v>185</v>
      </c>
      <c r="C10" s="13">
        <v>7359</v>
      </c>
      <c r="D10" s="13">
        <v>8367</v>
      </c>
      <c r="E10" s="13">
        <v>8307</v>
      </c>
      <c r="F10" s="13">
        <v>8465</v>
      </c>
      <c r="G10" s="13">
        <v>8095</v>
      </c>
      <c r="H10" s="13">
        <v>9616</v>
      </c>
      <c r="I10" s="13">
        <v>8990</v>
      </c>
      <c r="J10" s="13">
        <v>8956</v>
      </c>
      <c r="K10" s="13">
        <v>8767</v>
      </c>
      <c r="L10" s="13">
        <v>8729</v>
      </c>
      <c r="M10" s="13">
        <v>8678</v>
      </c>
      <c r="N10" s="13">
        <v>8779</v>
      </c>
      <c r="O10" s="13">
        <v>7496</v>
      </c>
      <c r="P10" s="13">
        <v>8445</v>
      </c>
      <c r="Q10" s="13">
        <v>8621</v>
      </c>
      <c r="R10" s="13">
        <v>8565</v>
      </c>
      <c r="S10" s="13">
        <v>8832</v>
      </c>
      <c r="T10" s="13">
        <v>8156</v>
      </c>
      <c r="U10" s="13">
        <v>8849</v>
      </c>
      <c r="V10" s="13">
        <v>8986</v>
      </c>
      <c r="W10" s="13">
        <v>9154</v>
      </c>
      <c r="X10" s="13">
        <v>8462</v>
      </c>
      <c r="Y10" s="13">
        <v>8641</v>
      </c>
      <c r="Z10" s="13">
        <v>8229</v>
      </c>
      <c r="AA10" s="13">
        <v>8716</v>
      </c>
      <c r="AB10" s="13">
        <v>7374</v>
      </c>
      <c r="AC10" s="13">
        <v>7522</v>
      </c>
      <c r="AD10" s="13">
        <v>7679</v>
      </c>
      <c r="AE10" s="13">
        <v>8438</v>
      </c>
      <c r="AF10" s="13">
        <v>9065</v>
      </c>
      <c r="AG10" s="13">
        <v>8747</v>
      </c>
      <c r="AH10" s="13">
        <v>8710</v>
      </c>
      <c r="AI10" s="13">
        <v>8973</v>
      </c>
      <c r="AJ10" s="13">
        <v>9170</v>
      </c>
      <c r="AK10" s="13">
        <v>9282</v>
      </c>
      <c r="AL10" s="13">
        <v>8920</v>
      </c>
      <c r="AM10" s="13">
        <v>8609</v>
      </c>
      <c r="AN10" s="13">
        <v>9308</v>
      </c>
      <c r="AO10" s="13">
        <v>9019</v>
      </c>
      <c r="AP10" s="13">
        <v>8856</v>
      </c>
      <c r="AQ10" s="13">
        <v>8881</v>
      </c>
      <c r="AR10" s="13">
        <v>8618</v>
      </c>
      <c r="AS10" s="13">
        <v>8545</v>
      </c>
      <c r="AT10" s="13">
        <v>9121</v>
      </c>
      <c r="AU10" s="13">
        <v>9154</v>
      </c>
      <c r="AV10" s="13">
        <v>9924</v>
      </c>
      <c r="AW10" s="13">
        <v>9159</v>
      </c>
      <c r="AX10" s="13">
        <v>9579</v>
      </c>
      <c r="AY10" s="13">
        <v>9122</v>
      </c>
      <c r="AZ10" s="13">
        <v>9254</v>
      </c>
      <c r="BA10" s="13">
        <v>9420</v>
      </c>
      <c r="BB10" s="13">
        <v>7872</v>
      </c>
      <c r="BC10" s="42"/>
    </row>
    <row r="11" spans="1:55" x14ac:dyDescent="0.2">
      <c r="A11" s="12"/>
      <c r="B11" s="15" t="s">
        <v>186</v>
      </c>
      <c r="C11" s="13">
        <v>6336</v>
      </c>
      <c r="D11" s="13">
        <v>6657</v>
      </c>
      <c r="E11" s="13">
        <v>6807</v>
      </c>
      <c r="F11" s="13">
        <v>6565</v>
      </c>
      <c r="G11" s="13">
        <v>6106</v>
      </c>
      <c r="H11" s="13">
        <v>6694</v>
      </c>
      <c r="I11" s="13">
        <v>6414</v>
      </c>
      <c r="J11" s="13">
        <v>6411</v>
      </c>
      <c r="K11" s="13">
        <v>6172</v>
      </c>
      <c r="L11" s="13">
        <v>6326</v>
      </c>
      <c r="M11" s="13">
        <v>6015</v>
      </c>
      <c r="N11" s="13">
        <v>6007</v>
      </c>
      <c r="O11" s="13">
        <v>6029</v>
      </c>
      <c r="P11" s="13">
        <v>5463</v>
      </c>
      <c r="Q11" s="13">
        <v>5431</v>
      </c>
      <c r="R11" s="13">
        <v>5791</v>
      </c>
      <c r="S11" s="13">
        <v>5792</v>
      </c>
      <c r="T11" s="13">
        <v>5787</v>
      </c>
      <c r="U11" s="13">
        <v>5617</v>
      </c>
      <c r="V11" s="13">
        <v>5446</v>
      </c>
      <c r="W11" s="13">
        <v>5790</v>
      </c>
      <c r="X11" s="13">
        <v>5634</v>
      </c>
      <c r="Y11" s="13">
        <v>6066</v>
      </c>
      <c r="Z11" s="13">
        <v>5613</v>
      </c>
      <c r="AA11" s="13">
        <v>5834</v>
      </c>
      <c r="AB11" s="13">
        <v>5792</v>
      </c>
      <c r="AC11" s="13">
        <v>5718</v>
      </c>
      <c r="AD11" s="13">
        <v>5871</v>
      </c>
      <c r="AE11" s="13">
        <v>5922</v>
      </c>
      <c r="AF11" s="13">
        <v>5783</v>
      </c>
      <c r="AG11" s="13">
        <v>6140</v>
      </c>
      <c r="AH11" s="13">
        <v>6216</v>
      </c>
      <c r="AI11" s="13">
        <v>6109</v>
      </c>
      <c r="AJ11" s="13">
        <v>6114</v>
      </c>
      <c r="AK11" s="13">
        <v>6050</v>
      </c>
      <c r="AL11" s="13">
        <v>5912</v>
      </c>
      <c r="AM11" s="13">
        <v>6221</v>
      </c>
      <c r="AN11" s="13">
        <v>6246</v>
      </c>
      <c r="AO11" s="13">
        <v>5831</v>
      </c>
      <c r="AP11" s="13">
        <v>6284</v>
      </c>
      <c r="AQ11" s="13">
        <v>6356</v>
      </c>
      <c r="AR11" s="13">
        <v>6498</v>
      </c>
      <c r="AS11" s="13">
        <v>6702</v>
      </c>
      <c r="AT11" s="13">
        <v>6706</v>
      </c>
      <c r="AU11" s="13">
        <v>7043</v>
      </c>
      <c r="AV11" s="13">
        <v>7110</v>
      </c>
      <c r="AW11" s="13">
        <v>6550</v>
      </c>
      <c r="AX11" s="13">
        <v>6578</v>
      </c>
      <c r="AY11" s="13">
        <v>6832</v>
      </c>
      <c r="AZ11" s="13">
        <v>7092</v>
      </c>
      <c r="BA11" s="13">
        <v>7574</v>
      </c>
      <c r="BB11" s="13">
        <v>6133</v>
      </c>
      <c r="BC11" s="42"/>
    </row>
    <row r="12" spans="1:55" x14ac:dyDescent="0.2">
      <c r="A12" s="12"/>
      <c r="B12" s="15" t="s">
        <v>187</v>
      </c>
      <c r="C12" s="13">
        <v>808</v>
      </c>
      <c r="D12" s="13">
        <v>998</v>
      </c>
      <c r="E12" s="13">
        <v>991</v>
      </c>
      <c r="F12" s="13">
        <v>1088</v>
      </c>
      <c r="G12" s="13">
        <v>1042</v>
      </c>
      <c r="H12" s="13">
        <v>1080</v>
      </c>
      <c r="I12" s="13">
        <v>984</v>
      </c>
      <c r="J12" s="13">
        <v>915</v>
      </c>
      <c r="K12" s="13">
        <v>946</v>
      </c>
      <c r="L12" s="13">
        <v>1022</v>
      </c>
      <c r="M12" s="13">
        <v>1224</v>
      </c>
      <c r="N12" s="13">
        <v>1461</v>
      </c>
      <c r="O12" s="13">
        <v>1270</v>
      </c>
      <c r="P12" s="13">
        <v>1207</v>
      </c>
      <c r="Q12" s="13">
        <v>1460</v>
      </c>
      <c r="R12" s="13">
        <v>1376</v>
      </c>
      <c r="S12" s="13">
        <v>1514</v>
      </c>
      <c r="T12" s="13">
        <v>1391</v>
      </c>
      <c r="U12" s="13">
        <v>1537</v>
      </c>
      <c r="V12" s="13">
        <v>1337</v>
      </c>
      <c r="W12" s="13">
        <v>1138</v>
      </c>
      <c r="X12" s="13">
        <v>1370</v>
      </c>
      <c r="Y12" s="13">
        <v>1243</v>
      </c>
      <c r="Z12" s="13">
        <v>491</v>
      </c>
      <c r="AA12" s="13">
        <v>734</v>
      </c>
      <c r="AB12" s="13">
        <v>1019</v>
      </c>
      <c r="AC12" s="13">
        <v>821</v>
      </c>
      <c r="AD12" s="13">
        <v>611</v>
      </c>
      <c r="AE12" s="13">
        <v>1092</v>
      </c>
      <c r="AF12" s="13">
        <v>596</v>
      </c>
      <c r="AG12" s="13">
        <v>789</v>
      </c>
      <c r="AH12" s="13">
        <v>749</v>
      </c>
      <c r="AI12" s="13">
        <v>2205</v>
      </c>
      <c r="AJ12" s="13">
        <v>718</v>
      </c>
      <c r="AK12" s="13">
        <v>1450</v>
      </c>
      <c r="AL12" s="13">
        <v>1390</v>
      </c>
      <c r="AM12" s="13">
        <v>1091</v>
      </c>
      <c r="AN12" s="13">
        <v>1128</v>
      </c>
      <c r="AO12" s="13">
        <v>1140</v>
      </c>
      <c r="AP12" s="13">
        <v>1088</v>
      </c>
      <c r="AQ12" s="13">
        <v>1214</v>
      </c>
      <c r="AR12" s="13">
        <v>1278</v>
      </c>
      <c r="AS12" s="13">
        <v>1336</v>
      </c>
      <c r="AT12" s="13">
        <v>1350</v>
      </c>
      <c r="AU12" s="13">
        <v>1410</v>
      </c>
      <c r="AV12" s="13">
        <v>1127</v>
      </c>
      <c r="AW12" s="13">
        <v>1295</v>
      </c>
      <c r="AX12" s="13">
        <v>1490</v>
      </c>
      <c r="AY12" s="13">
        <v>1220</v>
      </c>
      <c r="AZ12" s="13">
        <v>1275</v>
      </c>
      <c r="BA12" s="13">
        <v>1447</v>
      </c>
      <c r="BB12" s="13">
        <v>729</v>
      </c>
      <c r="BC12" s="42"/>
    </row>
    <row r="13" spans="1:55" x14ac:dyDescent="0.2">
      <c r="A13" s="12"/>
      <c r="B13" s="15"/>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c r="BC13" s="42"/>
    </row>
    <row r="14" spans="1:55" x14ac:dyDescent="0.2">
      <c r="A14" s="9" t="s">
        <v>188</v>
      </c>
      <c r="B14" s="17"/>
      <c r="C14" s="11">
        <v>15846</v>
      </c>
      <c r="D14" s="11">
        <v>16925</v>
      </c>
      <c r="E14" s="11">
        <v>17968</v>
      </c>
      <c r="F14" s="11">
        <v>17325</v>
      </c>
      <c r="G14" s="11">
        <v>15915</v>
      </c>
      <c r="H14" s="11">
        <v>17743</v>
      </c>
      <c r="I14" s="11">
        <v>17330</v>
      </c>
      <c r="J14" s="11">
        <v>16510</v>
      </c>
      <c r="K14" s="11">
        <v>16698</v>
      </c>
      <c r="L14" s="11">
        <v>16404</v>
      </c>
      <c r="M14" s="11">
        <v>15453</v>
      </c>
      <c r="N14" s="11">
        <v>16599</v>
      </c>
      <c r="O14" s="11">
        <v>18300</v>
      </c>
      <c r="P14" s="11">
        <v>16459</v>
      </c>
      <c r="Q14" s="11">
        <v>17853</v>
      </c>
      <c r="R14" s="11">
        <v>17793</v>
      </c>
      <c r="S14" s="11">
        <v>18828</v>
      </c>
      <c r="T14" s="11">
        <v>16062</v>
      </c>
      <c r="U14" s="11">
        <v>16417</v>
      </c>
      <c r="V14" s="11">
        <v>16111</v>
      </c>
      <c r="W14" s="11">
        <v>15519</v>
      </c>
      <c r="X14" s="11">
        <v>16281</v>
      </c>
      <c r="Y14" s="11">
        <v>15990</v>
      </c>
      <c r="Z14" s="11">
        <v>17124</v>
      </c>
      <c r="AA14" s="11">
        <v>18726</v>
      </c>
      <c r="AB14" s="11">
        <v>16381</v>
      </c>
      <c r="AC14" s="11">
        <v>17953</v>
      </c>
      <c r="AD14" s="11">
        <v>19002</v>
      </c>
      <c r="AE14" s="11">
        <v>18672</v>
      </c>
      <c r="AF14" s="11">
        <v>17778</v>
      </c>
      <c r="AG14" s="11">
        <v>18366</v>
      </c>
      <c r="AH14" s="11">
        <v>19695</v>
      </c>
      <c r="AI14" s="11">
        <v>18491</v>
      </c>
      <c r="AJ14" s="11">
        <v>14629</v>
      </c>
      <c r="AK14" s="11">
        <v>17687</v>
      </c>
      <c r="AL14" s="11">
        <v>18767</v>
      </c>
      <c r="AM14" s="11">
        <v>16329</v>
      </c>
      <c r="AN14" s="11">
        <v>18848</v>
      </c>
      <c r="AO14" s="11">
        <v>19045</v>
      </c>
      <c r="AP14" s="11">
        <v>18436</v>
      </c>
      <c r="AQ14" s="11">
        <v>17812</v>
      </c>
      <c r="AR14" s="11">
        <v>18157</v>
      </c>
      <c r="AS14" s="11">
        <v>16946</v>
      </c>
      <c r="AT14" s="11">
        <v>18174</v>
      </c>
      <c r="AU14" s="11">
        <v>17867</v>
      </c>
      <c r="AV14" s="11">
        <v>18338</v>
      </c>
      <c r="AW14" s="11">
        <v>16924</v>
      </c>
      <c r="AX14" s="11">
        <v>16564</v>
      </c>
      <c r="AY14" s="11">
        <v>15395</v>
      </c>
      <c r="AZ14" s="11">
        <v>17351</v>
      </c>
      <c r="BA14" s="11">
        <v>17067</v>
      </c>
      <c r="BB14" s="11">
        <v>14721</v>
      </c>
      <c r="BC14" s="42"/>
    </row>
    <row r="15" spans="1:55" x14ac:dyDescent="0.2">
      <c r="A15" s="12"/>
      <c r="B15" s="15" t="s">
        <v>189</v>
      </c>
      <c r="C15" s="13">
        <v>1958</v>
      </c>
      <c r="D15" s="13">
        <v>2491</v>
      </c>
      <c r="E15" s="13">
        <v>2480</v>
      </c>
      <c r="F15" s="13">
        <v>2238</v>
      </c>
      <c r="G15" s="13">
        <v>2023</v>
      </c>
      <c r="H15" s="13">
        <v>2294</v>
      </c>
      <c r="I15" s="13">
        <v>2559</v>
      </c>
      <c r="J15" s="13">
        <v>2071</v>
      </c>
      <c r="K15" s="13">
        <v>2318</v>
      </c>
      <c r="L15" s="13">
        <v>2147</v>
      </c>
      <c r="M15" s="13">
        <v>1999</v>
      </c>
      <c r="N15" s="13">
        <v>2240</v>
      </c>
      <c r="O15" s="13">
        <v>2187</v>
      </c>
      <c r="P15" s="13">
        <v>2193</v>
      </c>
      <c r="Q15" s="13">
        <v>2190</v>
      </c>
      <c r="R15" s="13">
        <v>2409</v>
      </c>
      <c r="S15" s="13">
        <v>2630</v>
      </c>
      <c r="T15" s="13">
        <v>2462</v>
      </c>
      <c r="U15" s="13">
        <v>2158</v>
      </c>
      <c r="V15" s="13">
        <v>1825</v>
      </c>
      <c r="W15" s="13">
        <v>2618</v>
      </c>
      <c r="X15" s="13">
        <v>2638</v>
      </c>
      <c r="Y15" s="13">
        <v>2210</v>
      </c>
      <c r="Z15" s="13">
        <v>3157</v>
      </c>
      <c r="AA15" s="13">
        <v>2919</v>
      </c>
      <c r="AB15" s="13">
        <v>2865</v>
      </c>
      <c r="AC15" s="13">
        <v>2825</v>
      </c>
      <c r="AD15" s="13">
        <v>3365</v>
      </c>
      <c r="AE15" s="13">
        <v>3454</v>
      </c>
      <c r="AF15" s="13">
        <v>2687</v>
      </c>
      <c r="AG15" s="13">
        <v>2510</v>
      </c>
      <c r="AH15" s="13">
        <v>3594</v>
      </c>
      <c r="AI15" s="13">
        <v>2886</v>
      </c>
      <c r="AJ15" s="13">
        <v>2690</v>
      </c>
      <c r="AK15" s="13">
        <v>2837</v>
      </c>
      <c r="AL15" s="13">
        <v>3021</v>
      </c>
      <c r="AM15" s="13">
        <v>2205</v>
      </c>
      <c r="AN15" s="13">
        <v>2826</v>
      </c>
      <c r="AO15" s="13">
        <v>3494</v>
      </c>
      <c r="AP15" s="13">
        <v>3364</v>
      </c>
      <c r="AQ15" s="13">
        <v>3541</v>
      </c>
      <c r="AR15" s="13">
        <v>3156</v>
      </c>
      <c r="AS15" s="13">
        <v>2955</v>
      </c>
      <c r="AT15" s="13">
        <v>2277</v>
      </c>
      <c r="AU15" s="13">
        <v>2491</v>
      </c>
      <c r="AV15" s="13">
        <v>2286</v>
      </c>
      <c r="AW15" s="13">
        <v>1905</v>
      </c>
      <c r="AX15" s="13">
        <v>1851</v>
      </c>
      <c r="AY15" s="13">
        <v>2301</v>
      </c>
      <c r="AZ15" s="13">
        <v>2302</v>
      </c>
      <c r="BA15" s="13">
        <v>1849</v>
      </c>
      <c r="BB15" s="13">
        <v>2065</v>
      </c>
      <c r="BC15" s="42"/>
    </row>
    <row r="16" spans="1:55" x14ac:dyDescent="0.2">
      <c r="A16" s="12"/>
      <c r="B16" s="15" t="s">
        <v>190</v>
      </c>
      <c r="C16" s="13">
        <v>1440</v>
      </c>
      <c r="D16" s="13">
        <v>1820</v>
      </c>
      <c r="E16" s="13">
        <v>1941</v>
      </c>
      <c r="F16" s="13">
        <v>1758</v>
      </c>
      <c r="G16" s="13">
        <v>1650</v>
      </c>
      <c r="H16" s="13">
        <v>1692</v>
      </c>
      <c r="I16" s="13">
        <v>1810</v>
      </c>
      <c r="J16" s="13">
        <v>1671</v>
      </c>
      <c r="K16" s="13">
        <v>1702</v>
      </c>
      <c r="L16" s="13">
        <v>1704</v>
      </c>
      <c r="M16" s="13">
        <v>1875</v>
      </c>
      <c r="N16" s="13">
        <v>1788</v>
      </c>
      <c r="O16" s="13">
        <v>1940</v>
      </c>
      <c r="P16" s="13">
        <v>1769</v>
      </c>
      <c r="Q16" s="13">
        <v>1560</v>
      </c>
      <c r="R16" s="13">
        <v>1670</v>
      </c>
      <c r="S16" s="13">
        <v>1830</v>
      </c>
      <c r="T16" s="13">
        <v>1736</v>
      </c>
      <c r="U16" s="13">
        <v>1567</v>
      </c>
      <c r="V16" s="13">
        <v>1418</v>
      </c>
      <c r="W16" s="13">
        <v>1621</v>
      </c>
      <c r="X16" s="13">
        <v>1733</v>
      </c>
      <c r="Y16" s="13">
        <v>1547</v>
      </c>
      <c r="Z16" s="13">
        <v>1684</v>
      </c>
      <c r="AA16" s="13">
        <v>1638</v>
      </c>
      <c r="AB16" s="13">
        <v>1712</v>
      </c>
      <c r="AC16" s="13">
        <v>1650</v>
      </c>
      <c r="AD16" s="13">
        <v>1464</v>
      </c>
      <c r="AE16" s="13">
        <v>1452</v>
      </c>
      <c r="AF16" s="13">
        <v>1701</v>
      </c>
      <c r="AG16" s="13">
        <v>1646</v>
      </c>
      <c r="AH16" s="13">
        <v>1455</v>
      </c>
      <c r="AI16" s="13">
        <v>1575</v>
      </c>
      <c r="AJ16" s="13">
        <v>1574</v>
      </c>
      <c r="AK16" s="13">
        <v>1676</v>
      </c>
      <c r="AL16" s="13">
        <v>1578</v>
      </c>
      <c r="AM16" s="13">
        <v>1706</v>
      </c>
      <c r="AN16" s="13">
        <v>1634</v>
      </c>
      <c r="AO16" s="13">
        <v>1785</v>
      </c>
      <c r="AP16" s="13">
        <v>1532</v>
      </c>
      <c r="AQ16" s="13">
        <v>1591</v>
      </c>
      <c r="AR16" s="13">
        <v>1542</v>
      </c>
      <c r="AS16" s="13">
        <v>1493</v>
      </c>
      <c r="AT16" s="13">
        <v>1508</v>
      </c>
      <c r="AU16" s="13">
        <v>1293</v>
      </c>
      <c r="AV16" s="13">
        <v>1484</v>
      </c>
      <c r="AW16" s="13">
        <v>1607</v>
      </c>
      <c r="AX16" s="13">
        <v>1622</v>
      </c>
      <c r="AY16" s="13">
        <v>1446</v>
      </c>
      <c r="AZ16" s="13">
        <v>1628</v>
      </c>
      <c r="BA16" s="13">
        <v>1827</v>
      </c>
      <c r="BB16" s="13">
        <v>1690</v>
      </c>
      <c r="BC16" s="42"/>
    </row>
    <row r="17" spans="1:54" x14ac:dyDescent="0.2">
      <c r="A17" s="12"/>
      <c r="B17" s="15" t="s">
        <v>191</v>
      </c>
      <c r="C17" s="13">
        <v>11085</v>
      </c>
      <c r="D17" s="13">
        <v>10805</v>
      </c>
      <c r="E17" s="13">
        <v>11783</v>
      </c>
      <c r="F17" s="13">
        <v>11538</v>
      </c>
      <c r="G17" s="13">
        <v>10479</v>
      </c>
      <c r="H17" s="13">
        <v>12019</v>
      </c>
      <c r="I17" s="13">
        <v>11060</v>
      </c>
      <c r="J17" s="13">
        <v>11021</v>
      </c>
      <c r="K17" s="13">
        <v>10757</v>
      </c>
      <c r="L17" s="13">
        <v>10445</v>
      </c>
      <c r="M17" s="13">
        <v>9645</v>
      </c>
      <c r="N17" s="13">
        <v>10870</v>
      </c>
      <c r="O17" s="13">
        <v>12299</v>
      </c>
      <c r="P17" s="13">
        <v>10639</v>
      </c>
      <c r="Q17" s="13">
        <v>12160</v>
      </c>
      <c r="R17" s="13">
        <v>11574</v>
      </c>
      <c r="S17" s="13">
        <v>12422</v>
      </c>
      <c r="T17" s="13">
        <v>9996</v>
      </c>
      <c r="U17" s="13">
        <v>10632</v>
      </c>
      <c r="V17" s="13">
        <v>10918</v>
      </c>
      <c r="W17" s="13">
        <v>9473</v>
      </c>
      <c r="X17" s="13">
        <v>9966</v>
      </c>
      <c r="Y17" s="13">
        <v>10514</v>
      </c>
      <c r="Z17" s="13">
        <v>10479</v>
      </c>
      <c r="AA17" s="13">
        <v>12136</v>
      </c>
      <c r="AB17" s="13">
        <v>9984</v>
      </c>
      <c r="AC17" s="13">
        <v>11794</v>
      </c>
      <c r="AD17" s="13">
        <v>12365</v>
      </c>
      <c r="AE17" s="13">
        <v>11930</v>
      </c>
      <c r="AF17" s="13">
        <v>11460</v>
      </c>
      <c r="AG17" s="13">
        <v>12268</v>
      </c>
      <c r="AH17" s="13">
        <v>12780</v>
      </c>
      <c r="AI17" s="13">
        <v>12151</v>
      </c>
      <c r="AJ17" s="13">
        <v>8351</v>
      </c>
      <c r="AK17" s="13">
        <v>11174</v>
      </c>
      <c r="AL17" s="13">
        <v>12399</v>
      </c>
      <c r="AM17" s="13">
        <v>10647</v>
      </c>
      <c r="AN17" s="13">
        <v>12365</v>
      </c>
      <c r="AO17" s="13">
        <v>11879</v>
      </c>
      <c r="AP17" s="13">
        <v>11761</v>
      </c>
      <c r="AQ17" s="13">
        <v>10786</v>
      </c>
      <c r="AR17" s="13">
        <v>11563</v>
      </c>
      <c r="AS17" s="13">
        <v>10517</v>
      </c>
      <c r="AT17" s="13">
        <v>12569</v>
      </c>
      <c r="AU17" s="13">
        <v>12219</v>
      </c>
      <c r="AV17" s="13">
        <v>12680</v>
      </c>
      <c r="AW17" s="13">
        <v>11609</v>
      </c>
      <c r="AX17" s="13">
        <v>11300</v>
      </c>
      <c r="AY17" s="13">
        <v>9819</v>
      </c>
      <c r="AZ17" s="13">
        <v>11620</v>
      </c>
      <c r="BA17" s="13">
        <v>11321</v>
      </c>
      <c r="BB17" s="13">
        <v>9688</v>
      </c>
    </row>
    <row r="18" spans="1:54" x14ac:dyDescent="0.2">
      <c r="A18" s="12"/>
      <c r="B18" s="15" t="s">
        <v>192</v>
      </c>
      <c r="C18" s="13">
        <v>656</v>
      </c>
      <c r="D18" s="13">
        <v>752</v>
      </c>
      <c r="E18" s="13">
        <v>764</v>
      </c>
      <c r="F18" s="13">
        <v>719</v>
      </c>
      <c r="G18" s="13">
        <v>724</v>
      </c>
      <c r="H18" s="13">
        <v>721</v>
      </c>
      <c r="I18" s="13">
        <v>828</v>
      </c>
      <c r="J18" s="13">
        <v>770</v>
      </c>
      <c r="K18" s="13">
        <v>729</v>
      </c>
      <c r="L18" s="13">
        <v>986</v>
      </c>
      <c r="M18" s="13">
        <v>770</v>
      </c>
      <c r="N18" s="13">
        <v>651</v>
      </c>
      <c r="O18" s="13">
        <v>745</v>
      </c>
      <c r="P18" s="13">
        <v>765</v>
      </c>
      <c r="Q18" s="13">
        <v>801</v>
      </c>
      <c r="R18" s="13">
        <v>878</v>
      </c>
      <c r="S18" s="13">
        <v>755</v>
      </c>
      <c r="T18" s="13">
        <v>760</v>
      </c>
      <c r="U18" s="13">
        <v>920</v>
      </c>
      <c r="V18" s="13">
        <v>905</v>
      </c>
      <c r="W18" s="13">
        <v>796</v>
      </c>
      <c r="X18" s="13">
        <v>874</v>
      </c>
      <c r="Y18" s="13">
        <v>791</v>
      </c>
      <c r="Z18" s="13">
        <v>835</v>
      </c>
      <c r="AA18" s="13">
        <v>920</v>
      </c>
      <c r="AB18" s="13">
        <v>733</v>
      </c>
      <c r="AC18" s="13">
        <v>802</v>
      </c>
      <c r="AD18" s="13">
        <v>835</v>
      </c>
      <c r="AE18" s="13">
        <v>918</v>
      </c>
      <c r="AF18" s="13">
        <v>776</v>
      </c>
      <c r="AG18" s="13">
        <v>900</v>
      </c>
      <c r="AH18" s="13">
        <v>927</v>
      </c>
      <c r="AI18" s="13">
        <v>809</v>
      </c>
      <c r="AJ18" s="13">
        <v>905</v>
      </c>
      <c r="AK18" s="13">
        <v>896</v>
      </c>
      <c r="AL18" s="13">
        <v>828</v>
      </c>
      <c r="AM18" s="13">
        <v>874</v>
      </c>
      <c r="AN18" s="13">
        <v>903</v>
      </c>
      <c r="AO18" s="13">
        <v>795</v>
      </c>
      <c r="AP18" s="13">
        <v>762</v>
      </c>
      <c r="AQ18" s="13">
        <v>896</v>
      </c>
      <c r="AR18" s="13">
        <v>832</v>
      </c>
      <c r="AS18" s="13">
        <v>894</v>
      </c>
      <c r="AT18" s="13">
        <v>804</v>
      </c>
      <c r="AU18" s="13">
        <v>741</v>
      </c>
      <c r="AV18" s="13">
        <v>801</v>
      </c>
      <c r="AW18" s="13">
        <v>754</v>
      </c>
      <c r="AX18" s="13">
        <v>732</v>
      </c>
      <c r="AY18" s="13">
        <v>748</v>
      </c>
      <c r="AZ18" s="13">
        <v>603</v>
      </c>
      <c r="BA18" s="13">
        <v>742</v>
      </c>
      <c r="BB18" s="13">
        <v>666</v>
      </c>
    </row>
    <row r="19" spans="1:54" x14ac:dyDescent="0.2">
      <c r="A19" s="12"/>
      <c r="B19" s="15" t="s">
        <v>193</v>
      </c>
      <c r="C19" s="13">
        <v>390</v>
      </c>
      <c r="D19" s="13">
        <v>684</v>
      </c>
      <c r="E19" s="13">
        <v>633</v>
      </c>
      <c r="F19" s="13">
        <v>753</v>
      </c>
      <c r="G19" s="13">
        <v>701</v>
      </c>
      <c r="H19" s="13">
        <v>668</v>
      </c>
      <c r="I19" s="13">
        <v>745</v>
      </c>
      <c r="J19" s="13">
        <v>671</v>
      </c>
      <c r="K19" s="13">
        <v>791</v>
      </c>
      <c r="L19" s="13">
        <v>725</v>
      </c>
      <c r="M19" s="13">
        <v>794</v>
      </c>
      <c r="N19" s="13">
        <v>706</v>
      </c>
      <c r="O19" s="13">
        <v>718</v>
      </c>
      <c r="P19" s="13">
        <v>678</v>
      </c>
      <c r="Q19" s="13">
        <v>688</v>
      </c>
      <c r="R19" s="13">
        <v>802</v>
      </c>
      <c r="S19" s="13">
        <v>828</v>
      </c>
      <c r="T19" s="13">
        <v>725</v>
      </c>
      <c r="U19" s="13">
        <v>740</v>
      </c>
      <c r="V19" s="13">
        <v>749</v>
      </c>
      <c r="W19" s="13">
        <v>661</v>
      </c>
      <c r="X19" s="13">
        <v>667</v>
      </c>
      <c r="Y19" s="13">
        <v>588</v>
      </c>
      <c r="Z19" s="13">
        <v>683</v>
      </c>
      <c r="AA19" s="13">
        <v>699</v>
      </c>
      <c r="AB19" s="13">
        <v>685</v>
      </c>
      <c r="AC19" s="13">
        <v>526</v>
      </c>
      <c r="AD19" s="13">
        <v>664</v>
      </c>
      <c r="AE19" s="13">
        <v>558</v>
      </c>
      <c r="AF19" s="13">
        <v>707</v>
      </c>
      <c r="AG19" s="13">
        <v>662</v>
      </c>
      <c r="AH19" s="13">
        <v>581</v>
      </c>
      <c r="AI19" s="13">
        <v>746</v>
      </c>
      <c r="AJ19" s="13">
        <v>739</v>
      </c>
      <c r="AK19" s="13">
        <v>751</v>
      </c>
      <c r="AL19" s="13">
        <v>552</v>
      </c>
      <c r="AM19" s="13">
        <v>727</v>
      </c>
      <c r="AN19" s="13">
        <v>778</v>
      </c>
      <c r="AO19" s="13">
        <v>781</v>
      </c>
      <c r="AP19" s="13">
        <v>695</v>
      </c>
      <c r="AQ19" s="13">
        <v>716</v>
      </c>
      <c r="AR19" s="13">
        <v>730</v>
      </c>
      <c r="AS19" s="13">
        <v>690</v>
      </c>
      <c r="AT19" s="13">
        <v>669</v>
      </c>
      <c r="AU19" s="13">
        <v>734</v>
      </c>
      <c r="AV19" s="13">
        <v>692</v>
      </c>
      <c r="AW19" s="13">
        <v>716</v>
      </c>
      <c r="AX19" s="13">
        <v>712</v>
      </c>
      <c r="AY19" s="13">
        <v>711</v>
      </c>
      <c r="AZ19" s="13">
        <v>802</v>
      </c>
      <c r="BA19" s="13">
        <v>918</v>
      </c>
      <c r="BB19" s="13">
        <v>376</v>
      </c>
    </row>
    <row r="20" spans="1:54" x14ac:dyDescent="0.2">
      <c r="A20" s="42"/>
      <c r="B20" s="12" t="s">
        <v>194</v>
      </c>
      <c r="C20" s="13">
        <v>317</v>
      </c>
      <c r="D20" s="13">
        <v>373</v>
      </c>
      <c r="E20" s="13">
        <v>367</v>
      </c>
      <c r="F20" s="13">
        <v>319</v>
      </c>
      <c r="G20" s="13">
        <v>338</v>
      </c>
      <c r="H20" s="13">
        <v>349</v>
      </c>
      <c r="I20" s="13">
        <v>328</v>
      </c>
      <c r="J20" s="13">
        <v>306</v>
      </c>
      <c r="K20" s="13">
        <v>401</v>
      </c>
      <c r="L20" s="13">
        <v>397</v>
      </c>
      <c r="M20" s="13">
        <v>370</v>
      </c>
      <c r="N20" s="13">
        <v>344</v>
      </c>
      <c r="O20" s="13">
        <v>411</v>
      </c>
      <c r="P20" s="13">
        <v>415</v>
      </c>
      <c r="Q20" s="13">
        <v>454</v>
      </c>
      <c r="R20" s="13">
        <v>460</v>
      </c>
      <c r="S20" s="13">
        <v>363</v>
      </c>
      <c r="T20" s="13">
        <v>383</v>
      </c>
      <c r="U20" s="13">
        <v>400</v>
      </c>
      <c r="V20" s="13">
        <v>296</v>
      </c>
      <c r="W20" s="13">
        <v>350</v>
      </c>
      <c r="X20" s="13">
        <v>403</v>
      </c>
      <c r="Y20" s="13">
        <v>340</v>
      </c>
      <c r="Z20" s="13">
        <v>286</v>
      </c>
      <c r="AA20" s="13">
        <v>414</v>
      </c>
      <c r="AB20" s="13">
        <v>402</v>
      </c>
      <c r="AC20" s="13">
        <v>356</v>
      </c>
      <c r="AD20" s="13">
        <v>309</v>
      </c>
      <c r="AE20" s="13">
        <v>360</v>
      </c>
      <c r="AF20" s="13">
        <v>447</v>
      </c>
      <c r="AG20" s="13">
        <v>380</v>
      </c>
      <c r="AH20" s="13">
        <v>358</v>
      </c>
      <c r="AI20" s="13">
        <v>324</v>
      </c>
      <c r="AJ20" s="13">
        <v>370</v>
      </c>
      <c r="AK20" s="13">
        <v>353</v>
      </c>
      <c r="AL20" s="13">
        <v>389</v>
      </c>
      <c r="AM20" s="13">
        <v>170</v>
      </c>
      <c r="AN20" s="13">
        <v>342</v>
      </c>
      <c r="AO20" s="13">
        <v>311</v>
      </c>
      <c r="AP20" s="13">
        <v>322</v>
      </c>
      <c r="AQ20" s="13">
        <v>282</v>
      </c>
      <c r="AR20" s="13">
        <v>334</v>
      </c>
      <c r="AS20" s="13">
        <v>397</v>
      </c>
      <c r="AT20" s="13">
        <v>347</v>
      </c>
      <c r="AU20" s="13">
        <v>389</v>
      </c>
      <c r="AV20" s="13">
        <v>395</v>
      </c>
      <c r="AW20" s="13">
        <v>333</v>
      </c>
      <c r="AX20" s="13">
        <v>347</v>
      </c>
      <c r="AY20" s="13">
        <v>370</v>
      </c>
      <c r="AZ20" s="13">
        <v>396</v>
      </c>
      <c r="BA20" s="13">
        <v>410</v>
      </c>
      <c r="BB20" s="13">
        <v>236</v>
      </c>
    </row>
    <row r="22" spans="1:54" x14ac:dyDescent="0.2">
      <c r="A22" s="9" t="s">
        <v>195</v>
      </c>
      <c r="B22" s="42"/>
      <c r="C22" s="5">
        <v>1871</v>
      </c>
      <c r="D22" s="5">
        <v>2159</v>
      </c>
      <c r="E22" s="5">
        <v>2077</v>
      </c>
      <c r="F22" s="5">
        <v>1715</v>
      </c>
      <c r="G22" s="5">
        <v>1550</v>
      </c>
      <c r="H22" s="5">
        <v>1863</v>
      </c>
      <c r="I22" s="5">
        <v>1975</v>
      </c>
      <c r="J22" s="5">
        <v>1924</v>
      </c>
      <c r="K22" s="5">
        <v>1754</v>
      </c>
      <c r="L22" s="5">
        <v>1764</v>
      </c>
      <c r="M22" s="5">
        <v>1784</v>
      </c>
      <c r="N22" s="5">
        <v>1784</v>
      </c>
      <c r="O22" s="5">
        <v>1928</v>
      </c>
      <c r="P22" s="5">
        <v>1912</v>
      </c>
      <c r="Q22" s="5">
        <v>1766</v>
      </c>
      <c r="R22" s="5">
        <v>2100</v>
      </c>
      <c r="S22" s="5">
        <v>1906</v>
      </c>
      <c r="T22" s="5">
        <v>1894</v>
      </c>
      <c r="U22" s="5">
        <v>2018</v>
      </c>
      <c r="V22" s="5">
        <v>2073</v>
      </c>
      <c r="W22" s="5">
        <v>1770</v>
      </c>
      <c r="X22" s="5">
        <v>2007</v>
      </c>
      <c r="Y22" s="5">
        <v>2205</v>
      </c>
      <c r="Z22" s="5">
        <v>2181</v>
      </c>
      <c r="AA22" s="5">
        <v>1815</v>
      </c>
      <c r="AB22" s="5">
        <v>1888</v>
      </c>
      <c r="AC22" s="5">
        <v>1909</v>
      </c>
      <c r="AD22" s="5">
        <v>2177</v>
      </c>
      <c r="AE22" s="5">
        <v>2183</v>
      </c>
      <c r="AF22" s="5">
        <v>2023</v>
      </c>
      <c r="AG22" s="5">
        <v>1867</v>
      </c>
      <c r="AH22" s="5">
        <v>1713</v>
      </c>
      <c r="AI22" s="5">
        <v>1921</v>
      </c>
      <c r="AJ22" s="5">
        <v>1769</v>
      </c>
      <c r="AK22" s="5">
        <v>1680</v>
      </c>
      <c r="AL22" s="5">
        <v>1805</v>
      </c>
      <c r="AM22" s="5">
        <v>1925</v>
      </c>
      <c r="AN22" s="5">
        <v>2073</v>
      </c>
      <c r="AO22" s="5">
        <v>2059</v>
      </c>
      <c r="AP22" s="5">
        <v>2097</v>
      </c>
      <c r="AQ22" s="5">
        <v>1741</v>
      </c>
      <c r="AR22" s="5">
        <v>2195</v>
      </c>
      <c r="AS22" s="5">
        <v>1917</v>
      </c>
      <c r="AT22" s="5">
        <v>1854</v>
      </c>
      <c r="AU22" s="5">
        <v>2088</v>
      </c>
      <c r="AV22" s="5">
        <v>1836</v>
      </c>
      <c r="AW22" s="5">
        <v>1599</v>
      </c>
      <c r="AX22" s="5">
        <v>1712</v>
      </c>
      <c r="AY22" s="5">
        <v>2083</v>
      </c>
      <c r="AZ22" s="5">
        <v>1992</v>
      </c>
      <c r="BA22" s="5">
        <v>2052</v>
      </c>
      <c r="BB22" s="5">
        <v>1179</v>
      </c>
    </row>
    <row r="23" spans="1:54" x14ac:dyDescent="0.2">
      <c r="A23" s="12"/>
      <c r="B23" s="15"/>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row>
    <row r="24" spans="1:54" x14ac:dyDescent="0.2">
      <c r="A24" s="9" t="s">
        <v>196</v>
      </c>
      <c r="B24" s="42"/>
      <c r="C24" s="5">
        <v>3366</v>
      </c>
      <c r="D24" s="5">
        <v>4384</v>
      </c>
      <c r="E24" s="5">
        <v>4234</v>
      </c>
      <c r="F24" s="5">
        <v>4011</v>
      </c>
      <c r="G24" s="5">
        <v>4087</v>
      </c>
      <c r="H24" s="5">
        <v>4099</v>
      </c>
      <c r="I24" s="5">
        <v>4160</v>
      </c>
      <c r="J24" s="5">
        <v>4232</v>
      </c>
      <c r="K24" s="5">
        <v>4772</v>
      </c>
      <c r="L24" s="5">
        <v>4287</v>
      </c>
      <c r="M24" s="5">
        <v>4445</v>
      </c>
      <c r="N24" s="5">
        <v>4375</v>
      </c>
      <c r="O24" s="5">
        <v>4508</v>
      </c>
      <c r="P24" s="5">
        <v>4508</v>
      </c>
      <c r="Q24" s="5">
        <v>4817</v>
      </c>
      <c r="R24" s="5">
        <v>4364</v>
      </c>
      <c r="S24" s="5">
        <v>4594</v>
      </c>
      <c r="T24" s="5">
        <v>4595</v>
      </c>
      <c r="U24" s="5">
        <v>4868</v>
      </c>
      <c r="V24" s="5">
        <v>4619</v>
      </c>
      <c r="W24" s="5">
        <v>4326</v>
      </c>
      <c r="X24" s="5">
        <v>4187</v>
      </c>
      <c r="Y24" s="5">
        <v>4469</v>
      </c>
      <c r="Z24" s="5">
        <v>4412</v>
      </c>
      <c r="AA24" s="5">
        <v>4482</v>
      </c>
      <c r="AB24" s="5">
        <v>4502</v>
      </c>
      <c r="AC24" s="5">
        <v>3845</v>
      </c>
      <c r="AD24" s="5">
        <v>4076</v>
      </c>
      <c r="AE24" s="5">
        <v>4722</v>
      </c>
      <c r="AF24" s="5">
        <v>4226</v>
      </c>
      <c r="AG24" s="5">
        <v>4177</v>
      </c>
      <c r="AH24" s="5">
        <v>4603</v>
      </c>
      <c r="AI24" s="5">
        <v>4685</v>
      </c>
      <c r="AJ24" s="5">
        <v>4428</v>
      </c>
      <c r="AK24" s="5">
        <v>4305</v>
      </c>
      <c r="AL24" s="5">
        <v>4485</v>
      </c>
      <c r="AM24" s="5">
        <v>4767</v>
      </c>
      <c r="AN24" s="5">
        <v>4951</v>
      </c>
      <c r="AO24" s="5">
        <v>5191</v>
      </c>
      <c r="AP24" s="5">
        <v>5038</v>
      </c>
      <c r="AQ24" s="5">
        <v>4635</v>
      </c>
      <c r="AR24" s="5">
        <v>4862</v>
      </c>
      <c r="AS24" s="5">
        <v>4984</v>
      </c>
      <c r="AT24" s="5">
        <v>4584</v>
      </c>
      <c r="AU24" s="5">
        <v>4702</v>
      </c>
      <c r="AV24" s="5">
        <v>4907</v>
      </c>
      <c r="AW24" s="5">
        <v>4374</v>
      </c>
      <c r="AX24" s="5">
        <v>4738</v>
      </c>
      <c r="AY24" s="5">
        <v>5054</v>
      </c>
      <c r="AZ24" s="5">
        <v>5214</v>
      </c>
      <c r="BA24" s="5">
        <v>3923</v>
      </c>
      <c r="BB24" s="5">
        <v>2506</v>
      </c>
    </row>
    <row r="25" spans="1:54" x14ac:dyDescent="0.2">
      <c r="A25" s="12"/>
      <c r="B25" s="15"/>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row>
    <row r="26" spans="1:54" x14ac:dyDescent="0.2">
      <c r="A26" s="18" t="s">
        <v>197</v>
      </c>
      <c r="B26" s="19"/>
      <c r="C26" s="20">
        <v>40992</v>
      </c>
      <c r="D26" s="20">
        <v>45376</v>
      </c>
      <c r="E26" s="20">
        <v>46099</v>
      </c>
      <c r="F26" s="20">
        <v>45405</v>
      </c>
      <c r="G26" s="20">
        <v>42589</v>
      </c>
      <c r="H26" s="20">
        <v>46869</v>
      </c>
      <c r="I26" s="20">
        <v>45978</v>
      </c>
      <c r="J26" s="20">
        <v>44817</v>
      </c>
      <c r="K26" s="20">
        <v>45264</v>
      </c>
      <c r="L26" s="20">
        <v>44676</v>
      </c>
      <c r="M26" s="20">
        <v>43907</v>
      </c>
      <c r="N26" s="20">
        <v>45255</v>
      </c>
      <c r="O26" s="20">
        <v>45596</v>
      </c>
      <c r="P26" s="20">
        <v>43630</v>
      </c>
      <c r="Q26" s="20">
        <v>45995</v>
      </c>
      <c r="R26" s="20">
        <v>46054</v>
      </c>
      <c r="S26" s="20">
        <v>47386</v>
      </c>
      <c r="T26" s="20">
        <v>43497</v>
      </c>
      <c r="U26" s="20">
        <v>44858</v>
      </c>
      <c r="V26" s="20">
        <v>44334</v>
      </c>
      <c r="W26" s="20">
        <v>43299</v>
      </c>
      <c r="X26" s="20">
        <v>43758</v>
      </c>
      <c r="Y26" s="20">
        <v>44081</v>
      </c>
      <c r="Z26" s="20">
        <v>43393</v>
      </c>
      <c r="AA26" s="20">
        <v>45905</v>
      </c>
      <c r="AB26" s="20">
        <v>42364</v>
      </c>
      <c r="AC26" s="20">
        <v>42895</v>
      </c>
      <c r="AD26" s="20">
        <v>44833</v>
      </c>
      <c r="AE26" s="20">
        <v>46346</v>
      </c>
      <c r="AF26" s="20">
        <v>45170</v>
      </c>
      <c r="AG26" s="20">
        <v>45694</v>
      </c>
      <c r="AH26" s="20">
        <v>46896</v>
      </c>
      <c r="AI26" s="20">
        <v>47859</v>
      </c>
      <c r="AJ26" s="20">
        <v>42680</v>
      </c>
      <c r="AK26" s="20">
        <v>46345</v>
      </c>
      <c r="AL26" s="20">
        <v>46744</v>
      </c>
      <c r="AM26" s="20">
        <v>44601</v>
      </c>
      <c r="AN26" s="20">
        <v>48226</v>
      </c>
      <c r="AO26" s="20">
        <v>47789</v>
      </c>
      <c r="AP26" s="20">
        <v>47562</v>
      </c>
      <c r="AQ26" s="20">
        <v>45877</v>
      </c>
      <c r="AR26" s="20">
        <v>46862</v>
      </c>
      <c r="AS26" s="20">
        <v>45819</v>
      </c>
      <c r="AT26" s="20">
        <v>47574</v>
      </c>
      <c r="AU26" s="20">
        <v>47759</v>
      </c>
      <c r="AV26" s="20">
        <v>49160</v>
      </c>
      <c r="AW26" s="20">
        <v>45644</v>
      </c>
      <c r="AX26" s="20">
        <v>46531</v>
      </c>
      <c r="AY26" s="20">
        <v>45287</v>
      </c>
      <c r="AZ26" s="20">
        <v>47883</v>
      </c>
      <c r="BA26" s="20">
        <v>47001</v>
      </c>
      <c r="BB26" s="20">
        <v>37325</v>
      </c>
    </row>
    <row r="27" spans="1:54" x14ac:dyDescent="0.2">
      <c r="A27" s="12"/>
      <c r="B27" s="15"/>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row>
    <row r="28" spans="1:54" x14ac:dyDescent="0.2">
      <c r="A28" s="9" t="s">
        <v>198</v>
      </c>
      <c r="B28" s="12"/>
      <c r="C28" s="11">
        <v>9098</v>
      </c>
      <c r="D28" s="11">
        <v>9855</v>
      </c>
      <c r="E28" s="11">
        <v>9295</v>
      </c>
      <c r="F28" s="11">
        <v>9940</v>
      </c>
      <c r="G28" s="11">
        <v>10841</v>
      </c>
      <c r="H28" s="11">
        <v>9580</v>
      </c>
      <c r="I28" s="11">
        <v>9497</v>
      </c>
      <c r="J28" s="11">
        <v>10301</v>
      </c>
      <c r="K28" s="11">
        <v>10059</v>
      </c>
      <c r="L28" s="11">
        <v>10279</v>
      </c>
      <c r="M28" s="11">
        <v>9999</v>
      </c>
      <c r="N28" s="11">
        <v>10488</v>
      </c>
      <c r="O28" s="11">
        <v>12749</v>
      </c>
      <c r="P28" s="11">
        <v>9705</v>
      </c>
      <c r="Q28" s="11">
        <v>11220</v>
      </c>
      <c r="R28" s="11">
        <v>10595</v>
      </c>
      <c r="S28" s="11">
        <v>10475</v>
      </c>
      <c r="T28" s="11">
        <v>10214</v>
      </c>
      <c r="U28" s="11">
        <v>10086</v>
      </c>
      <c r="V28" s="11">
        <v>9899</v>
      </c>
      <c r="W28" s="11">
        <v>9410</v>
      </c>
      <c r="X28" s="11">
        <v>11116</v>
      </c>
      <c r="Y28" s="11">
        <v>8941</v>
      </c>
      <c r="Z28" s="11">
        <v>9906</v>
      </c>
      <c r="AA28" s="11">
        <v>10117</v>
      </c>
      <c r="AB28" s="11">
        <v>8898</v>
      </c>
      <c r="AC28" s="11">
        <v>7693</v>
      </c>
      <c r="AD28" s="11">
        <v>8199</v>
      </c>
      <c r="AE28" s="11">
        <v>9622</v>
      </c>
      <c r="AF28" s="11">
        <v>9356</v>
      </c>
      <c r="AG28" s="11">
        <v>9803</v>
      </c>
      <c r="AH28" s="11">
        <v>9901</v>
      </c>
      <c r="AI28" s="11">
        <v>9733</v>
      </c>
      <c r="AJ28" s="11">
        <v>9262</v>
      </c>
      <c r="AK28" s="11">
        <v>9272</v>
      </c>
      <c r="AL28" s="11">
        <v>10205</v>
      </c>
      <c r="AM28" s="11">
        <v>10240</v>
      </c>
      <c r="AN28" s="11">
        <v>9536</v>
      </c>
      <c r="AO28" s="11">
        <v>9852</v>
      </c>
      <c r="AP28" s="11">
        <v>10586</v>
      </c>
      <c r="AQ28" s="11">
        <v>9645</v>
      </c>
      <c r="AR28" s="11">
        <v>9483</v>
      </c>
      <c r="AS28" s="11">
        <v>9443</v>
      </c>
      <c r="AT28" s="11">
        <v>10442</v>
      </c>
      <c r="AU28" s="11">
        <v>11364</v>
      </c>
      <c r="AV28" s="11">
        <v>10324</v>
      </c>
      <c r="AW28" s="11">
        <v>8468</v>
      </c>
      <c r="AX28" s="11">
        <v>10685</v>
      </c>
      <c r="AY28" s="11">
        <v>8718</v>
      </c>
      <c r="AZ28" s="11">
        <v>8886</v>
      </c>
      <c r="BA28" s="11">
        <v>8575</v>
      </c>
      <c r="BB28" s="11">
        <v>8132</v>
      </c>
    </row>
    <row r="29" spans="1:54" x14ac:dyDescent="0.2">
      <c r="A29" s="12"/>
      <c r="B29" s="12" t="s">
        <v>198</v>
      </c>
      <c r="C29" s="13">
        <v>7791</v>
      </c>
      <c r="D29" s="13">
        <v>8053</v>
      </c>
      <c r="E29" s="13">
        <v>8217</v>
      </c>
      <c r="F29" s="13">
        <v>8294</v>
      </c>
      <c r="G29" s="13">
        <v>9661</v>
      </c>
      <c r="H29" s="13">
        <v>7948</v>
      </c>
      <c r="I29" s="13">
        <v>8546</v>
      </c>
      <c r="J29" s="13">
        <v>9417</v>
      </c>
      <c r="K29" s="13">
        <v>8648</v>
      </c>
      <c r="L29" s="13">
        <v>9110</v>
      </c>
      <c r="M29" s="13">
        <v>8703</v>
      </c>
      <c r="N29" s="13">
        <v>9441</v>
      </c>
      <c r="O29" s="13">
        <v>10828</v>
      </c>
      <c r="P29" s="13">
        <v>8662</v>
      </c>
      <c r="Q29" s="13">
        <v>9529</v>
      </c>
      <c r="R29" s="13">
        <v>9417</v>
      </c>
      <c r="S29" s="13">
        <v>9486</v>
      </c>
      <c r="T29" s="13">
        <v>7744</v>
      </c>
      <c r="U29" s="13">
        <v>8389</v>
      </c>
      <c r="V29" s="13">
        <v>7838</v>
      </c>
      <c r="W29" s="13">
        <v>8318</v>
      </c>
      <c r="X29" s="13">
        <v>9543</v>
      </c>
      <c r="Y29" s="13">
        <v>8162</v>
      </c>
      <c r="Z29" s="13">
        <v>8092</v>
      </c>
      <c r="AA29" s="13">
        <v>8538</v>
      </c>
      <c r="AB29" s="13">
        <v>7826</v>
      </c>
      <c r="AC29" s="13">
        <v>6261</v>
      </c>
      <c r="AD29" s="13">
        <v>7093</v>
      </c>
      <c r="AE29" s="13">
        <v>7454</v>
      </c>
      <c r="AF29" s="13">
        <v>7817</v>
      </c>
      <c r="AG29" s="13">
        <v>8930</v>
      </c>
      <c r="AH29" s="13">
        <v>8465</v>
      </c>
      <c r="AI29" s="13">
        <v>8070</v>
      </c>
      <c r="AJ29" s="13">
        <v>8138</v>
      </c>
      <c r="AK29" s="13">
        <v>7460</v>
      </c>
      <c r="AL29" s="13">
        <v>9128</v>
      </c>
      <c r="AM29" s="13">
        <v>8691</v>
      </c>
      <c r="AN29" s="13">
        <v>8316</v>
      </c>
      <c r="AO29" s="13">
        <v>9003</v>
      </c>
      <c r="AP29" s="13">
        <v>8790</v>
      </c>
      <c r="AQ29" s="13">
        <v>8502</v>
      </c>
      <c r="AR29" s="13">
        <v>8503</v>
      </c>
      <c r="AS29" s="13">
        <v>8390</v>
      </c>
      <c r="AT29" s="13">
        <v>8893</v>
      </c>
      <c r="AU29" s="13">
        <v>9229</v>
      </c>
      <c r="AV29" s="13">
        <v>9504</v>
      </c>
      <c r="AW29" s="13">
        <v>7706</v>
      </c>
      <c r="AX29" s="13">
        <v>9033</v>
      </c>
      <c r="AY29" s="13">
        <v>7226</v>
      </c>
      <c r="AZ29" s="13">
        <v>7392</v>
      </c>
      <c r="BA29" s="13">
        <v>6705</v>
      </c>
      <c r="BB29" s="13">
        <v>7111</v>
      </c>
    </row>
    <row r="30" spans="1:54" x14ac:dyDescent="0.2">
      <c r="A30" s="12"/>
      <c r="B30" s="15" t="s">
        <v>199</v>
      </c>
      <c r="C30" s="13">
        <v>1307</v>
      </c>
      <c r="D30" s="13">
        <v>1802</v>
      </c>
      <c r="E30" s="13">
        <v>1078</v>
      </c>
      <c r="F30" s="13">
        <v>1646</v>
      </c>
      <c r="G30" s="13">
        <v>1180</v>
      </c>
      <c r="H30" s="13">
        <v>1632</v>
      </c>
      <c r="I30" s="13">
        <v>951</v>
      </c>
      <c r="J30" s="13">
        <v>884</v>
      </c>
      <c r="K30" s="13">
        <v>1411</v>
      </c>
      <c r="L30" s="13">
        <v>1169</v>
      </c>
      <c r="M30" s="13">
        <v>1296</v>
      </c>
      <c r="N30" s="13">
        <v>1047</v>
      </c>
      <c r="O30" s="13">
        <v>1921</v>
      </c>
      <c r="P30" s="13">
        <v>1043</v>
      </c>
      <c r="Q30" s="13">
        <v>1691</v>
      </c>
      <c r="R30" s="13">
        <v>1178</v>
      </c>
      <c r="S30" s="13">
        <v>989</v>
      </c>
      <c r="T30" s="13">
        <v>2470</v>
      </c>
      <c r="U30" s="13">
        <v>1697</v>
      </c>
      <c r="V30" s="13">
        <v>2061</v>
      </c>
      <c r="W30" s="13">
        <v>1092</v>
      </c>
      <c r="X30" s="13">
        <v>1573</v>
      </c>
      <c r="Y30" s="13">
        <v>779</v>
      </c>
      <c r="Z30" s="13">
        <v>1814</v>
      </c>
      <c r="AA30" s="13">
        <v>1579</v>
      </c>
      <c r="AB30" s="13">
        <v>1072</v>
      </c>
      <c r="AC30" s="13">
        <v>1432</v>
      </c>
      <c r="AD30" s="13">
        <v>1106</v>
      </c>
      <c r="AE30" s="13">
        <v>2168</v>
      </c>
      <c r="AF30" s="13">
        <v>1539</v>
      </c>
      <c r="AG30" s="13">
        <v>873</v>
      </c>
      <c r="AH30" s="13">
        <v>1436</v>
      </c>
      <c r="AI30" s="13">
        <v>1663</v>
      </c>
      <c r="AJ30" s="13">
        <v>1124</v>
      </c>
      <c r="AK30" s="13">
        <v>1812</v>
      </c>
      <c r="AL30" s="13">
        <v>1077</v>
      </c>
      <c r="AM30" s="13">
        <v>1549</v>
      </c>
      <c r="AN30" s="13">
        <v>1220</v>
      </c>
      <c r="AO30" s="13">
        <v>849</v>
      </c>
      <c r="AP30" s="13">
        <v>1796</v>
      </c>
      <c r="AQ30" s="13">
        <v>1143</v>
      </c>
      <c r="AR30" s="13">
        <v>980</v>
      </c>
      <c r="AS30" s="13">
        <v>1053</v>
      </c>
      <c r="AT30" s="13">
        <v>1549</v>
      </c>
      <c r="AU30" s="13">
        <v>2135</v>
      </c>
      <c r="AV30" s="13">
        <v>820</v>
      </c>
      <c r="AW30" s="13">
        <v>762</v>
      </c>
      <c r="AX30" s="13">
        <v>1652</v>
      </c>
      <c r="AY30" s="13">
        <v>1492</v>
      </c>
      <c r="AZ30" s="13">
        <v>1494</v>
      </c>
      <c r="BA30" s="13">
        <v>1870</v>
      </c>
      <c r="BB30" s="13">
        <v>1021</v>
      </c>
    </row>
    <row r="31" spans="1:54" x14ac:dyDescent="0.2">
      <c r="A31" s="12"/>
      <c r="B31" s="15"/>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row>
    <row r="32" spans="1:54" x14ac:dyDescent="0.2">
      <c r="A32" s="16" t="s">
        <v>200</v>
      </c>
      <c r="B32" s="12"/>
      <c r="C32" s="11">
        <v>8369</v>
      </c>
      <c r="D32" s="11">
        <v>9443</v>
      </c>
      <c r="E32" s="11">
        <v>9285</v>
      </c>
      <c r="F32" s="11">
        <v>9511</v>
      </c>
      <c r="G32" s="11">
        <v>9011</v>
      </c>
      <c r="H32" s="11">
        <v>8830</v>
      </c>
      <c r="I32" s="11">
        <v>9867</v>
      </c>
      <c r="J32" s="11">
        <v>7930</v>
      </c>
      <c r="K32" s="11">
        <v>8585</v>
      </c>
      <c r="L32" s="11">
        <v>8985</v>
      </c>
      <c r="M32" s="11">
        <v>9195</v>
      </c>
      <c r="N32" s="11">
        <v>8371</v>
      </c>
      <c r="O32" s="11">
        <v>8432</v>
      </c>
      <c r="P32" s="11">
        <v>8255</v>
      </c>
      <c r="Q32" s="11">
        <v>8458</v>
      </c>
      <c r="R32" s="11">
        <v>7701</v>
      </c>
      <c r="S32" s="11">
        <v>7329</v>
      </c>
      <c r="T32" s="11">
        <v>5974</v>
      </c>
      <c r="U32" s="11">
        <v>6435</v>
      </c>
      <c r="V32" s="11">
        <v>6218</v>
      </c>
      <c r="W32" s="11">
        <v>6508</v>
      </c>
      <c r="X32" s="11">
        <v>5533</v>
      </c>
      <c r="Y32" s="11">
        <v>6041</v>
      </c>
      <c r="Z32" s="11">
        <v>6032</v>
      </c>
      <c r="AA32" s="11">
        <v>5000</v>
      </c>
      <c r="AB32" s="11">
        <v>6416</v>
      </c>
      <c r="AC32" s="11">
        <v>6706</v>
      </c>
      <c r="AD32" s="11">
        <v>6041</v>
      </c>
      <c r="AE32" s="11">
        <v>7062</v>
      </c>
      <c r="AF32" s="11">
        <v>5480</v>
      </c>
      <c r="AG32" s="11">
        <v>5467</v>
      </c>
      <c r="AH32" s="11">
        <v>4889</v>
      </c>
      <c r="AI32" s="11">
        <v>5001</v>
      </c>
      <c r="AJ32" s="11">
        <v>5735</v>
      </c>
      <c r="AK32" s="11">
        <v>5941</v>
      </c>
      <c r="AL32" s="11">
        <v>6766</v>
      </c>
      <c r="AM32" s="11">
        <v>7845</v>
      </c>
      <c r="AN32" s="11">
        <v>8665</v>
      </c>
      <c r="AO32" s="11">
        <v>9071</v>
      </c>
      <c r="AP32" s="11">
        <v>10268</v>
      </c>
      <c r="AQ32" s="11">
        <v>9485</v>
      </c>
      <c r="AR32" s="11">
        <v>10574</v>
      </c>
      <c r="AS32" s="11">
        <v>9416</v>
      </c>
      <c r="AT32" s="11">
        <v>9350</v>
      </c>
      <c r="AU32" s="11">
        <v>8252</v>
      </c>
      <c r="AV32" s="11">
        <v>8455</v>
      </c>
      <c r="AW32" s="11">
        <v>8243</v>
      </c>
      <c r="AX32" s="11">
        <v>7632</v>
      </c>
      <c r="AY32" s="11">
        <v>8013</v>
      </c>
      <c r="AZ32" s="11">
        <v>7698</v>
      </c>
      <c r="BA32" s="11">
        <v>7529</v>
      </c>
      <c r="BB32" s="11">
        <v>5371</v>
      </c>
    </row>
    <row r="33" spans="1:54" x14ac:dyDescent="0.2">
      <c r="A33" s="12"/>
      <c r="B33" s="15" t="s">
        <v>201</v>
      </c>
      <c r="C33" s="13">
        <v>1466</v>
      </c>
      <c r="D33" s="13">
        <v>1523</v>
      </c>
      <c r="E33" s="13">
        <v>2030</v>
      </c>
      <c r="F33" s="13">
        <v>1923</v>
      </c>
      <c r="G33" s="13">
        <v>1725</v>
      </c>
      <c r="H33" s="13">
        <v>2347</v>
      </c>
      <c r="I33" s="13">
        <v>1594</v>
      </c>
      <c r="J33" s="13">
        <v>1773</v>
      </c>
      <c r="K33" s="13">
        <v>1512</v>
      </c>
      <c r="L33" s="13">
        <v>1666</v>
      </c>
      <c r="M33" s="13">
        <v>3125</v>
      </c>
      <c r="N33" s="13">
        <v>1565</v>
      </c>
      <c r="O33" s="13">
        <v>2048</v>
      </c>
      <c r="P33" s="13">
        <v>1105</v>
      </c>
      <c r="Q33" s="13">
        <v>1373</v>
      </c>
      <c r="R33" s="13">
        <v>1437</v>
      </c>
      <c r="S33" s="13">
        <v>934</v>
      </c>
      <c r="T33" s="13">
        <v>1031</v>
      </c>
      <c r="U33" s="13">
        <v>1229</v>
      </c>
      <c r="V33" s="13">
        <v>1042</v>
      </c>
      <c r="W33" s="13">
        <v>1050</v>
      </c>
      <c r="X33" s="13">
        <v>407</v>
      </c>
      <c r="Y33" s="13">
        <v>701</v>
      </c>
      <c r="Z33" s="13">
        <v>911</v>
      </c>
      <c r="AA33" s="13">
        <v>904</v>
      </c>
      <c r="AB33" s="13">
        <v>1392</v>
      </c>
      <c r="AC33" s="13">
        <v>1657</v>
      </c>
      <c r="AD33" s="13">
        <v>926</v>
      </c>
      <c r="AE33" s="13">
        <v>890</v>
      </c>
      <c r="AF33" s="13">
        <v>942</v>
      </c>
      <c r="AG33" s="13">
        <v>860</v>
      </c>
      <c r="AH33" s="13">
        <v>824</v>
      </c>
      <c r="AI33" s="13">
        <v>749</v>
      </c>
      <c r="AJ33" s="13">
        <v>1121</v>
      </c>
      <c r="AK33" s="13">
        <v>1491</v>
      </c>
      <c r="AL33" s="13">
        <v>1397</v>
      </c>
      <c r="AM33" s="13">
        <v>1387</v>
      </c>
      <c r="AN33" s="13">
        <v>2303</v>
      </c>
      <c r="AO33" s="13">
        <v>1942</v>
      </c>
      <c r="AP33" s="13">
        <v>2921</v>
      </c>
      <c r="AQ33" s="13">
        <v>1826</v>
      </c>
      <c r="AR33" s="13">
        <v>1741</v>
      </c>
      <c r="AS33" s="13">
        <v>1614</v>
      </c>
      <c r="AT33" s="13">
        <v>2080</v>
      </c>
      <c r="AU33" s="13">
        <v>910</v>
      </c>
      <c r="AV33" s="13">
        <v>1080</v>
      </c>
      <c r="AW33" s="13">
        <v>1411</v>
      </c>
      <c r="AX33" s="13">
        <v>1362</v>
      </c>
      <c r="AY33" s="13">
        <v>1507</v>
      </c>
      <c r="AZ33" s="13">
        <v>1241</v>
      </c>
      <c r="BA33" s="13">
        <v>1460</v>
      </c>
      <c r="BB33" s="13">
        <v>699</v>
      </c>
    </row>
    <row r="34" spans="1:54" x14ac:dyDescent="0.2">
      <c r="A34" s="12"/>
      <c r="B34" s="15" t="s">
        <v>200</v>
      </c>
      <c r="C34" s="13">
        <v>5622</v>
      </c>
      <c r="D34" s="13">
        <v>6738</v>
      </c>
      <c r="E34" s="13">
        <v>6114</v>
      </c>
      <c r="F34" s="13">
        <v>6236</v>
      </c>
      <c r="G34" s="13">
        <v>5979</v>
      </c>
      <c r="H34" s="13">
        <v>5166</v>
      </c>
      <c r="I34" s="13">
        <v>6901</v>
      </c>
      <c r="J34" s="13">
        <v>5047</v>
      </c>
      <c r="K34" s="13">
        <v>5835</v>
      </c>
      <c r="L34" s="13">
        <v>5992</v>
      </c>
      <c r="M34" s="13">
        <v>4781</v>
      </c>
      <c r="N34" s="13">
        <v>5624</v>
      </c>
      <c r="O34" s="13">
        <v>5146</v>
      </c>
      <c r="P34" s="13">
        <v>5835</v>
      </c>
      <c r="Q34" s="13">
        <v>5775</v>
      </c>
      <c r="R34" s="13">
        <v>4961</v>
      </c>
      <c r="S34" s="13">
        <v>4979</v>
      </c>
      <c r="T34" s="13">
        <v>3634</v>
      </c>
      <c r="U34" s="13">
        <v>3800</v>
      </c>
      <c r="V34" s="13">
        <v>3826</v>
      </c>
      <c r="W34" s="13">
        <v>3916</v>
      </c>
      <c r="X34" s="13">
        <v>3615</v>
      </c>
      <c r="Y34" s="13">
        <v>3973</v>
      </c>
      <c r="Z34" s="13">
        <v>4094</v>
      </c>
      <c r="AA34" s="13">
        <v>2890</v>
      </c>
      <c r="AB34" s="13">
        <v>3794</v>
      </c>
      <c r="AC34" s="13">
        <v>4054</v>
      </c>
      <c r="AD34" s="13">
        <v>3927</v>
      </c>
      <c r="AE34" s="13">
        <v>4993</v>
      </c>
      <c r="AF34" s="13">
        <v>3437</v>
      </c>
      <c r="AG34" s="13">
        <v>3382</v>
      </c>
      <c r="AH34" s="13">
        <v>2810</v>
      </c>
      <c r="AI34" s="13">
        <v>2980</v>
      </c>
      <c r="AJ34" s="13">
        <v>3532</v>
      </c>
      <c r="AK34" s="13">
        <v>3343</v>
      </c>
      <c r="AL34" s="13">
        <v>4140</v>
      </c>
      <c r="AM34" s="13">
        <v>5431</v>
      </c>
      <c r="AN34" s="13">
        <v>5098</v>
      </c>
      <c r="AO34" s="13">
        <v>6093</v>
      </c>
      <c r="AP34" s="13">
        <v>6281</v>
      </c>
      <c r="AQ34" s="13">
        <v>6189</v>
      </c>
      <c r="AR34" s="13">
        <v>7509</v>
      </c>
      <c r="AS34" s="13">
        <v>6587</v>
      </c>
      <c r="AT34" s="13">
        <v>6019</v>
      </c>
      <c r="AU34" s="13">
        <v>6059</v>
      </c>
      <c r="AV34" s="13">
        <v>6301</v>
      </c>
      <c r="AW34" s="13">
        <v>5675</v>
      </c>
      <c r="AX34" s="13">
        <v>5066</v>
      </c>
      <c r="AY34" s="13">
        <v>5233</v>
      </c>
      <c r="AZ34" s="13">
        <v>5191</v>
      </c>
      <c r="BA34" s="13">
        <v>4878</v>
      </c>
      <c r="BB34" s="13">
        <v>3582</v>
      </c>
    </row>
    <row r="35" spans="1:54" x14ac:dyDescent="0.2">
      <c r="A35" s="12"/>
      <c r="B35" s="15" t="s">
        <v>202</v>
      </c>
      <c r="C35" s="13">
        <v>1281</v>
      </c>
      <c r="D35" s="13">
        <v>1182</v>
      </c>
      <c r="E35" s="13">
        <v>1141</v>
      </c>
      <c r="F35" s="13">
        <v>1352</v>
      </c>
      <c r="G35" s="13">
        <v>1307</v>
      </c>
      <c r="H35" s="13">
        <v>1317</v>
      </c>
      <c r="I35" s="13">
        <v>1372</v>
      </c>
      <c r="J35" s="13">
        <v>1110</v>
      </c>
      <c r="K35" s="13">
        <v>1238</v>
      </c>
      <c r="L35" s="13">
        <v>1327</v>
      </c>
      <c r="M35" s="13">
        <v>1289</v>
      </c>
      <c r="N35" s="13">
        <v>1182</v>
      </c>
      <c r="O35" s="13">
        <v>1238</v>
      </c>
      <c r="P35" s="13">
        <v>1315</v>
      </c>
      <c r="Q35" s="13">
        <v>1310</v>
      </c>
      <c r="R35" s="13">
        <v>1303</v>
      </c>
      <c r="S35" s="13">
        <v>1416</v>
      </c>
      <c r="T35" s="13">
        <v>1309</v>
      </c>
      <c r="U35" s="13">
        <v>1406</v>
      </c>
      <c r="V35" s="13">
        <v>1350</v>
      </c>
      <c r="W35" s="13">
        <v>1542</v>
      </c>
      <c r="X35" s="13">
        <v>1511</v>
      </c>
      <c r="Y35" s="13">
        <v>1367</v>
      </c>
      <c r="Z35" s="13">
        <v>1027</v>
      </c>
      <c r="AA35" s="13">
        <v>1206</v>
      </c>
      <c r="AB35" s="13">
        <v>1230</v>
      </c>
      <c r="AC35" s="13">
        <v>995</v>
      </c>
      <c r="AD35" s="13">
        <v>1188</v>
      </c>
      <c r="AE35" s="13">
        <v>1179</v>
      </c>
      <c r="AF35" s="13">
        <v>1101</v>
      </c>
      <c r="AG35" s="13">
        <v>1225</v>
      </c>
      <c r="AH35" s="13">
        <v>1255</v>
      </c>
      <c r="AI35" s="13">
        <v>1272</v>
      </c>
      <c r="AJ35" s="13">
        <v>1082</v>
      </c>
      <c r="AK35" s="13">
        <v>1107</v>
      </c>
      <c r="AL35" s="13">
        <v>1229</v>
      </c>
      <c r="AM35" s="13">
        <v>1027</v>
      </c>
      <c r="AN35" s="13">
        <v>1264</v>
      </c>
      <c r="AO35" s="13">
        <v>1036</v>
      </c>
      <c r="AP35" s="13">
        <v>1066</v>
      </c>
      <c r="AQ35" s="13">
        <v>1470</v>
      </c>
      <c r="AR35" s="13">
        <v>1324</v>
      </c>
      <c r="AS35" s="13">
        <v>1215</v>
      </c>
      <c r="AT35" s="13">
        <v>1251</v>
      </c>
      <c r="AU35" s="13">
        <v>1283</v>
      </c>
      <c r="AV35" s="13">
        <v>1074</v>
      </c>
      <c r="AW35" s="13">
        <v>1157</v>
      </c>
      <c r="AX35" s="13">
        <v>1204</v>
      </c>
      <c r="AY35" s="13">
        <v>1273</v>
      </c>
      <c r="AZ35" s="13">
        <v>1266</v>
      </c>
      <c r="BA35" s="13">
        <v>1191</v>
      </c>
      <c r="BB35" s="13">
        <v>1090</v>
      </c>
    </row>
    <row r="36" spans="1:54" x14ac:dyDescent="0.2">
      <c r="A36" s="12"/>
      <c r="B36" s="15"/>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row>
    <row r="37" spans="1:54" x14ac:dyDescent="0.2">
      <c r="A37" s="9" t="s">
        <v>203</v>
      </c>
      <c r="B37" s="42"/>
      <c r="C37" s="5">
        <v>1791</v>
      </c>
      <c r="D37" s="5">
        <v>1632</v>
      </c>
      <c r="E37" s="5">
        <v>1822</v>
      </c>
      <c r="F37" s="5">
        <v>1641</v>
      </c>
      <c r="G37" s="5">
        <v>1489</v>
      </c>
      <c r="H37" s="5">
        <v>1771</v>
      </c>
      <c r="I37" s="5">
        <v>1419</v>
      </c>
      <c r="J37" s="5">
        <v>1658</v>
      </c>
      <c r="K37" s="5">
        <v>1833</v>
      </c>
      <c r="L37" s="5">
        <v>1455</v>
      </c>
      <c r="M37" s="5">
        <v>1832</v>
      </c>
      <c r="N37" s="5">
        <v>1740</v>
      </c>
      <c r="O37" s="5">
        <v>1684</v>
      </c>
      <c r="P37" s="5">
        <v>1999</v>
      </c>
      <c r="Q37" s="5">
        <v>1598</v>
      </c>
      <c r="R37" s="5">
        <v>1871</v>
      </c>
      <c r="S37" s="5">
        <v>1847</v>
      </c>
      <c r="T37" s="5">
        <v>1661</v>
      </c>
      <c r="U37" s="5">
        <v>2017</v>
      </c>
      <c r="V37" s="5">
        <v>1561</v>
      </c>
      <c r="W37" s="5">
        <v>1528</v>
      </c>
      <c r="X37" s="5">
        <v>1382</v>
      </c>
      <c r="Y37" s="5">
        <v>1514</v>
      </c>
      <c r="Z37" s="5">
        <v>1439</v>
      </c>
      <c r="AA37" s="5">
        <v>1424</v>
      </c>
      <c r="AB37" s="5">
        <v>1493</v>
      </c>
      <c r="AC37" s="5">
        <v>1242</v>
      </c>
      <c r="AD37" s="5">
        <v>1695</v>
      </c>
      <c r="AE37" s="5">
        <v>1646</v>
      </c>
      <c r="AF37" s="5">
        <v>1675</v>
      </c>
      <c r="AG37" s="5">
        <v>1913</v>
      </c>
      <c r="AH37" s="5">
        <v>1523</v>
      </c>
      <c r="AI37" s="5">
        <v>1513</v>
      </c>
      <c r="AJ37" s="5">
        <v>1751</v>
      </c>
      <c r="AK37" s="5">
        <v>1213</v>
      </c>
      <c r="AL37" s="5">
        <v>1821</v>
      </c>
      <c r="AM37" s="5">
        <v>1653</v>
      </c>
      <c r="AN37" s="5">
        <v>1551</v>
      </c>
      <c r="AO37" s="5">
        <v>1893</v>
      </c>
      <c r="AP37" s="5">
        <v>1804</v>
      </c>
      <c r="AQ37" s="5">
        <v>1782</v>
      </c>
      <c r="AR37" s="5">
        <v>2175</v>
      </c>
      <c r="AS37" s="5">
        <v>1789</v>
      </c>
      <c r="AT37" s="5">
        <v>1747</v>
      </c>
      <c r="AU37" s="5">
        <v>1913</v>
      </c>
      <c r="AV37" s="5">
        <v>1798</v>
      </c>
      <c r="AW37" s="5">
        <v>1708</v>
      </c>
      <c r="AX37" s="5">
        <v>1613</v>
      </c>
      <c r="AY37" s="5">
        <v>1824</v>
      </c>
      <c r="AZ37" s="5">
        <v>1582</v>
      </c>
      <c r="BA37" s="5">
        <v>1717</v>
      </c>
      <c r="BB37" s="5">
        <v>1352</v>
      </c>
    </row>
    <row r="38" spans="1:54" x14ac:dyDescent="0.2">
      <c r="A38" s="4"/>
      <c r="B38" s="4"/>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row>
    <row r="39" spans="1:54" x14ac:dyDescent="0.2">
      <c r="A39" s="18" t="s">
        <v>204</v>
      </c>
      <c r="B39" s="19"/>
      <c r="C39" s="20">
        <v>19258</v>
      </c>
      <c r="D39" s="20">
        <v>20930</v>
      </c>
      <c r="E39" s="20">
        <v>20402</v>
      </c>
      <c r="F39" s="20">
        <v>21092</v>
      </c>
      <c r="G39" s="20">
        <v>21341</v>
      </c>
      <c r="H39" s="20">
        <v>20181</v>
      </c>
      <c r="I39" s="20">
        <v>20783</v>
      </c>
      <c r="J39" s="20">
        <v>19889</v>
      </c>
      <c r="K39" s="20">
        <v>20477</v>
      </c>
      <c r="L39" s="20">
        <v>20719</v>
      </c>
      <c r="M39" s="20">
        <v>21026</v>
      </c>
      <c r="N39" s="20">
        <v>20599</v>
      </c>
      <c r="O39" s="20">
        <v>22865</v>
      </c>
      <c r="P39" s="20">
        <v>19959</v>
      </c>
      <c r="Q39" s="20">
        <v>21276</v>
      </c>
      <c r="R39" s="20">
        <v>20167</v>
      </c>
      <c r="S39" s="20">
        <v>19651</v>
      </c>
      <c r="T39" s="20">
        <v>17849</v>
      </c>
      <c r="U39" s="20">
        <v>18538</v>
      </c>
      <c r="V39" s="20">
        <v>17678</v>
      </c>
      <c r="W39" s="20">
        <v>17446</v>
      </c>
      <c r="X39" s="20">
        <v>18031</v>
      </c>
      <c r="Y39" s="20">
        <v>16496</v>
      </c>
      <c r="Z39" s="20">
        <v>17377</v>
      </c>
      <c r="AA39" s="20">
        <v>16541</v>
      </c>
      <c r="AB39" s="20">
        <v>16807</v>
      </c>
      <c r="AC39" s="20">
        <v>15641</v>
      </c>
      <c r="AD39" s="20">
        <v>15935</v>
      </c>
      <c r="AE39" s="20">
        <v>18330</v>
      </c>
      <c r="AF39" s="20">
        <v>16511</v>
      </c>
      <c r="AG39" s="20">
        <v>17183</v>
      </c>
      <c r="AH39" s="20">
        <v>16313</v>
      </c>
      <c r="AI39" s="20">
        <v>16247</v>
      </c>
      <c r="AJ39" s="20">
        <v>16748</v>
      </c>
      <c r="AK39" s="20">
        <v>16426</v>
      </c>
      <c r="AL39" s="20">
        <v>18792</v>
      </c>
      <c r="AM39" s="20">
        <v>19738</v>
      </c>
      <c r="AN39" s="20">
        <v>19752</v>
      </c>
      <c r="AO39" s="20">
        <v>20816</v>
      </c>
      <c r="AP39" s="20">
        <v>22658</v>
      </c>
      <c r="AQ39" s="20">
        <v>20912</v>
      </c>
      <c r="AR39" s="20">
        <v>22232</v>
      </c>
      <c r="AS39" s="20">
        <v>20648</v>
      </c>
      <c r="AT39" s="20">
        <v>21539</v>
      </c>
      <c r="AU39" s="20">
        <v>21529</v>
      </c>
      <c r="AV39" s="20">
        <v>20577</v>
      </c>
      <c r="AW39" s="20">
        <v>18419</v>
      </c>
      <c r="AX39" s="20">
        <v>19930</v>
      </c>
      <c r="AY39" s="20">
        <v>18555</v>
      </c>
      <c r="AZ39" s="20">
        <v>18166</v>
      </c>
      <c r="BA39" s="20">
        <v>17821</v>
      </c>
      <c r="BB39" s="20">
        <v>14855</v>
      </c>
    </row>
    <row r="40" spans="1:54" x14ac:dyDescent="0.2">
      <c r="A40" s="12"/>
      <c r="B40" s="15"/>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row>
    <row r="41" spans="1:54" x14ac:dyDescent="0.2">
      <c r="A41" s="12"/>
      <c r="B41" s="15" t="s">
        <v>205</v>
      </c>
      <c r="C41" s="13">
        <v>37186</v>
      </c>
      <c r="D41" s="13">
        <v>41715</v>
      </c>
      <c r="E41" s="13">
        <v>37663</v>
      </c>
      <c r="F41" s="13">
        <v>42042</v>
      </c>
      <c r="G41" s="13">
        <v>39253</v>
      </c>
      <c r="H41" s="13">
        <v>41066</v>
      </c>
      <c r="I41" s="13">
        <v>40480</v>
      </c>
      <c r="J41" s="13">
        <v>39465</v>
      </c>
      <c r="K41" s="13">
        <v>38525</v>
      </c>
      <c r="L41" s="13">
        <v>38959</v>
      </c>
      <c r="M41" s="13">
        <v>38683</v>
      </c>
      <c r="N41" s="13">
        <v>40829</v>
      </c>
      <c r="O41" s="13">
        <v>39427</v>
      </c>
      <c r="P41" s="13">
        <v>38281</v>
      </c>
      <c r="Q41" s="13">
        <v>39548</v>
      </c>
      <c r="R41" s="13">
        <v>43021</v>
      </c>
      <c r="S41" s="13">
        <v>42661</v>
      </c>
      <c r="T41" s="13">
        <v>43862</v>
      </c>
      <c r="U41" s="13">
        <v>41799</v>
      </c>
      <c r="V41" s="13">
        <v>45181</v>
      </c>
      <c r="W41" s="13">
        <v>45114</v>
      </c>
      <c r="X41" s="13">
        <v>42622</v>
      </c>
      <c r="Y41" s="13">
        <v>41870</v>
      </c>
      <c r="Z41" s="13">
        <v>44188</v>
      </c>
      <c r="AA41" s="13">
        <v>41452</v>
      </c>
      <c r="AB41" s="13">
        <v>38356</v>
      </c>
      <c r="AC41" s="13">
        <v>21701</v>
      </c>
      <c r="AD41" s="13">
        <v>27533</v>
      </c>
      <c r="AE41" s="13">
        <v>40700</v>
      </c>
      <c r="AF41" s="13">
        <v>39328</v>
      </c>
      <c r="AG41" s="13">
        <v>42540</v>
      </c>
      <c r="AH41" s="13">
        <v>40641</v>
      </c>
      <c r="AI41" s="13">
        <v>40934</v>
      </c>
      <c r="AJ41" s="13">
        <v>38235</v>
      </c>
      <c r="AK41" s="13">
        <v>39203</v>
      </c>
      <c r="AL41" s="13">
        <v>37172</v>
      </c>
      <c r="AM41" s="13">
        <v>40739</v>
      </c>
      <c r="AN41" s="13">
        <v>41815</v>
      </c>
      <c r="AO41" s="13">
        <v>41333</v>
      </c>
      <c r="AP41" s="13">
        <v>40188</v>
      </c>
      <c r="AQ41" s="13">
        <v>39274</v>
      </c>
      <c r="AR41" s="13">
        <v>41039</v>
      </c>
      <c r="AS41" s="13">
        <v>39156</v>
      </c>
      <c r="AT41" s="13">
        <v>36563</v>
      </c>
      <c r="AU41" s="13">
        <v>39894</v>
      </c>
      <c r="AV41" s="13">
        <v>38119</v>
      </c>
      <c r="AW41" s="13">
        <v>40047</v>
      </c>
      <c r="AX41" s="13">
        <v>42340</v>
      </c>
      <c r="AY41" s="13">
        <v>41421</v>
      </c>
      <c r="AZ41" s="13">
        <v>43807</v>
      </c>
      <c r="BA41" s="13">
        <v>41904</v>
      </c>
      <c r="BB41" s="13">
        <v>34065</v>
      </c>
    </row>
    <row r="42" spans="1:54" x14ac:dyDescent="0.2">
      <c r="A42" s="12"/>
      <c r="B42" s="15" t="s">
        <v>206</v>
      </c>
      <c r="C42" s="13">
        <v>0</v>
      </c>
      <c r="D42" s="13">
        <v>0</v>
      </c>
      <c r="E42" s="13">
        <v>0</v>
      </c>
      <c r="F42" s="13">
        <v>0</v>
      </c>
      <c r="G42" s="13">
        <v>0</v>
      </c>
      <c r="H42" s="13">
        <v>0</v>
      </c>
      <c r="I42" s="13">
        <v>0</v>
      </c>
      <c r="J42" s="13">
        <v>0</v>
      </c>
      <c r="K42" s="13">
        <v>0</v>
      </c>
      <c r="L42" s="13">
        <v>0</v>
      </c>
      <c r="M42" s="13">
        <v>0</v>
      </c>
      <c r="N42" s="13">
        <v>0</v>
      </c>
      <c r="O42" s="13">
        <v>0</v>
      </c>
      <c r="P42" s="13">
        <v>0</v>
      </c>
      <c r="Q42" s="13">
        <v>0</v>
      </c>
      <c r="R42" s="13">
        <v>0</v>
      </c>
      <c r="S42" s="13">
        <v>0</v>
      </c>
      <c r="T42" s="13">
        <v>0</v>
      </c>
      <c r="U42" s="13">
        <v>0</v>
      </c>
      <c r="V42" s="13">
        <v>0</v>
      </c>
      <c r="W42" s="13">
        <v>0</v>
      </c>
      <c r="X42" s="13">
        <v>0</v>
      </c>
      <c r="Y42" s="13">
        <v>0</v>
      </c>
      <c r="Z42" s="13">
        <v>0</v>
      </c>
      <c r="AA42" s="13">
        <v>0</v>
      </c>
      <c r="AB42" s="13">
        <v>0</v>
      </c>
      <c r="AC42" s="13">
        <v>0</v>
      </c>
      <c r="AD42" s="13">
        <v>0</v>
      </c>
      <c r="AE42" s="13">
        <v>0</v>
      </c>
      <c r="AF42" s="13">
        <v>0</v>
      </c>
      <c r="AG42" s="13">
        <v>0</v>
      </c>
      <c r="AH42" s="13">
        <v>0</v>
      </c>
      <c r="AI42" s="13">
        <v>0</v>
      </c>
      <c r="AJ42" s="13">
        <v>0</v>
      </c>
      <c r="AK42" s="13">
        <v>0</v>
      </c>
      <c r="AL42" s="13">
        <v>0</v>
      </c>
      <c r="AM42" s="13">
        <v>0</v>
      </c>
      <c r="AN42" s="13">
        <v>0</v>
      </c>
      <c r="AO42" s="13">
        <v>0</v>
      </c>
      <c r="AP42" s="13">
        <v>0</v>
      </c>
      <c r="AQ42" s="13">
        <v>0</v>
      </c>
      <c r="AR42" s="13">
        <v>0</v>
      </c>
      <c r="AS42" s="13">
        <v>0</v>
      </c>
      <c r="AT42" s="13">
        <v>0</v>
      </c>
      <c r="AU42" s="13">
        <v>0</v>
      </c>
      <c r="AV42" s="13">
        <v>0</v>
      </c>
      <c r="AW42" s="13">
        <v>0</v>
      </c>
      <c r="AX42" s="13">
        <v>0</v>
      </c>
      <c r="AY42" s="13">
        <v>0</v>
      </c>
      <c r="AZ42" s="13">
        <v>0</v>
      </c>
      <c r="BA42" s="13">
        <v>0</v>
      </c>
      <c r="BB42" s="13">
        <v>0</v>
      </c>
    </row>
    <row r="43" spans="1:54" x14ac:dyDescent="0.2">
      <c r="A43" s="12"/>
      <c r="B43" s="15"/>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row>
    <row r="44" spans="1:54" x14ac:dyDescent="0.2">
      <c r="A44" s="18" t="s">
        <v>207</v>
      </c>
      <c r="B44" s="18"/>
      <c r="C44" s="20">
        <v>37186</v>
      </c>
      <c r="D44" s="20">
        <v>41715</v>
      </c>
      <c r="E44" s="20">
        <v>37663</v>
      </c>
      <c r="F44" s="20">
        <v>42042</v>
      </c>
      <c r="G44" s="20">
        <v>39253</v>
      </c>
      <c r="H44" s="20">
        <v>41066</v>
      </c>
      <c r="I44" s="20">
        <v>40480</v>
      </c>
      <c r="J44" s="20">
        <v>39465</v>
      </c>
      <c r="K44" s="20">
        <v>38525</v>
      </c>
      <c r="L44" s="20">
        <v>38959</v>
      </c>
      <c r="M44" s="20">
        <v>38683</v>
      </c>
      <c r="N44" s="20">
        <v>40829</v>
      </c>
      <c r="O44" s="20">
        <v>39427</v>
      </c>
      <c r="P44" s="20">
        <v>38281</v>
      </c>
      <c r="Q44" s="20">
        <v>39548</v>
      </c>
      <c r="R44" s="20">
        <v>43021</v>
      </c>
      <c r="S44" s="20">
        <v>42661</v>
      </c>
      <c r="T44" s="20">
        <v>43862</v>
      </c>
      <c r="U44" s="20">
        <v>41799</v>
      </c>
      <c r="V44" s="20">
        <v>45181</v>
      </c>
      <c r="W44" s="20">
        <v>45114</v>
      </c>
      <c r="X44" s="20">
        <v>42622</v>
      </c>
      <c r="Y44" s="20">
        <v>41870</v>
      </c>
      <c r="Z44" s="20">
        <v>44188</v>
      </c>
      <c r="AA44" s="20">
        <v>41452</v>
      </c>
      <c r="AB44" s="20">
        <v>38356</v>
      </c>
      <c r="AC44" s="20">
        <v>21701</v>
      </c>
      <c r="AD44" s="20">
        <v>27533</v>
      </c>
      <c r="AE44" s="20">
        <v>40700</v>
      </c>
      <c r="AF44" s="20">
        <v>39328</v>
      </c>
      <c r="AG44" s="20">
        <v>42540</v>
      </c>
      <c r="AH44" s="20">
        <v>40641</v>
      </c>
      <c r="AI44" s="20">
        <v>40934</v>
      </c>
      <c r="AJ44" s="20">
        <v>38235</v>
      </c>
      <c r="AK44" s="20">
        <v>39203</v>
      </c>
      <c r="AL44" s="20">
        <v>37172</v>
      </c>
      <c r="AM44" s="20">
        <v>40739</v>
      </c>
      <c r="AN44" s="20">
        <v>41815</v>
      </c>
      <c r="AO44" s="20">
        <v>41333</v>
      </c>
      <c r="AP44" s="20">
        <v>40188</v>
      </c>
      <c r="AQ44" s="20">
        <v>39274</v>
      </c>
      <c r="AR44" s="20">
        <v>41039</v>
      </c>
      <c r="AS44" s="20">
        <v>39156</v>
      </c>
      <c r="AT44" s="20">
        <v>36563</v>
      </c>
      <c r="AU44" s="20">
        <v>39894</v>
      </c>
      <c r="AV44" s="20">
        <v>38119</v>
      </c>
      <c r="AW44" s="20">
        <v>40047</v>
      </c>
      <c r="AX44" s="20">
        <v>42340</v>
      </c>
      <c r="AY44" s="20">
        <v>41421</v>
      </c>
      <c r="AZ44" s="20">
        <v>43807</v>
      </c>
      <c r="BA44" s="20">
        <v>41904</v>
      </c>
      <c r="BB44" s="20">
        <v>34065</v>
      </c>
    </row>
    <row r="45" spans="1:54" x14ac:dyDescent="0.2">
      <c r="A45" s="12"/>
      <c r="B45" s="14"/>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row>
    <row r="46" spans="1:54" ht="13.5" thickBot="1" x14ac:dyDescent="0.25">
      <c r="A46" s="21" t="s">
        <v>208</v>
      </c>
      <c r="B46" s="22"/>
      <c r="C46" s="23">
        <v>97436</v>
      </c>
      <c r="D46" s="23">
        <v>108021</v>
      </c>
      <c r="E46" s="23">
        <v>104164</v>
      </c>
      <c r="F46" s="23">
        <v>108539</v>
      </c>
      <c r="G46" s="23">
        <v>103183</v>
      </c>
      <c r="H46" s="23">
        <v>108116</v>
      </c>
      <c r="I46" s="23">
        <v>107241</v>
      </c>
      <c r="J46" s="23">
        <v>104171</v>
      </c>
      <c r="K46" s="23">
        <v>104266</v>
      </c>
      <c r="L46" s="23">
        <v>104354</v>
      </c>
      <c r="M46" s="23">
        <v>103616</v>
      </c>
      <c r="N46" s="23">
        <v>106683</v>
      </c>
      <c r="O46" s="23">
        <v>107888</v>
      </c>
      <c r="P46" s="23">
        <v>101870</v>
      </c>
      <c r="Q46" s="23">
        <v>106819</v>
      </c>
      <c r="R46" s="23">
        <v>109242</v>
      </c>
      <c r="S46" s="23">
        <v>109698</v>
      </c>
      <c r="T46" s="23">
        <v>105208</v>
      </c>
      <c r="U46" s="23">
        <v>105195</v>
      </c>
      <c r="V46" s="23">
        <v>107193</v>
      </c>
      <c r="W46" s="23">
        <v>105859</v>
      </c>
      <c r="X46" s="23">
        <v>104411</v>
      </c>
      <c r="Y46" s="23">
        <v>102447</v>
      </c>
      <c r="Z46" s="23">
        <v>104958</v>
      </c>
      <c r="AA46" s="23">
        <v>103898</v>
      </c>
      <c r="AB46" s="23">
        <v>97527</v>
      </c>
      <c r="AC46" s="23">
        <v>80237</v>
      </c>
      <c r="AD46" s="23">
        <v>88301</v>
      </c>
      <c r="AE46" s="23">
        <v>105376</v>
      </c>
      <c r="AF46" s="23">
        <v>101009</v>
      </c>
      <c r="AG46" s="23">
        <v>105417</v>
      </c>
      <c r="AH46" s="23">
        <v>103850</v>
      </c>
      <c r="AI46" s="23">
        <v>105040</v>
      </c>
      <c r="AJ46" s="23">
        <v>97663</v>
      </c>
      <c r="AK46" s="23">
        <v>101974</v>
      </c>
      <c r="AL46" s="23">
        <v>102708</v>
      </c>
      <c r="AM46" s="23">
        <v>105078</v>
      </c>
      <c r="AN46" s="23">
        <v>109793</v>
      </c>
      <c r="AO46" s="23">
        <v>109938</v>
      </c>
      <c r="AP46" s="23">
        <v>110408</v>
      </c>
      <c r="AQ46" s="23">
        <v>106063</v>
      </c>
      <c r="AR46" s="23">
        <v>110133</v>
      </c>
      <c r="AS46" s="23">
        <v>105623</v>
      </c>
      <c r="AT46" s="23">
        <v>105676</v>
      </c>
      <c r="AU46" s="23">
        <v>109182</v>
      </c>
      <c r="AV46" s="23">
        <v>107856</v>
      </c>
      <c r="AW46" s="23">
        <v>104110</v>
      </c>
      <c r="AX46" s="23">
        <v>108801</v>
      </c>
      <c r="AY46" s="23">
        <v>105263</v>
      </c>
      <c r="AZ46" s="23">
        <v>109856</v>
      </c>
      <c r="BA46" s="23">
        <v>106726</v>
      </c>
      <c r="BB46" s="23">
        <v>86245</v>
      </c>
    </row>
    <row r="47" spans="1:54" ht="13.5" thickTop="1" x14ac:dyDescent="0.2">
      <c r="A47" s="42"/>
      <c r="B47" s="42"/>
      <c r="C47" s="43"/>
      <c r="D47" s="42"/>
      <c r="E47" s="42"/>
      <c r="F47" s="42"/>
      <c r="G47" s="42"/>
      <c r="H47" s="42"/>
      <c r="I47" s="42"/>
      <c r="J47" s="42"/>
      <c r="K47" s="42"/>
      <c r="L47" s="42"/>
      <c r="M47" s="42"/>
      <c r="N47" s="42"/>
      <c r="O47" s="42"/>
      <c r="P47" s="42"/>
      <c r="Q47" s="42"/>
      <c r="R47" s="42"/>
      <c r="S47" s="42"/>
      <c r="T47" s="42"/>
      <c r="U47" s="42"/>
      <c r="V47" s="42"/>
      <c r="W47" s="42"/>
      <c r="X47" s="42"/>
      <c r="Y47" s="42"/>
      <c r="Z47" s="42"/>
      <c r="AA47" s="42"/>
      <c r="AB47" s="42"/>
      <c r="AC47" s="42"/>
      <c r="AD47" s="42"/>
      <c r="AE47" s="42"/>
      <c r="AF47" s="42"/>
      <c r="AG47" s="42"/>
      <c r="AH47" s="42"/>
      <c r="AI47" s="42"/>
      <c r="AJ47" s="42"/>
      <c r="AK47" s="42"/>
      <c r="AL47" s="42"/>
      <c r="AM47" s="42"/>
      <c r="AN47" s="42"/>
      <c r="AO47" s="42"/>
      <c r="AP47" s="42"/>
      <c r="AQ47" s="42"/>
      <c r="AR47" s="42"/>
      <c r="AS47" s="42"/>
      <c r="AT47" s="42"/>
      <c r="AU47" s="42"/>
      <c r="AV47" s="42"/>
      <c r="AW47" s="42"/>
      <c r="AX47" s="42"/>
      <c r="AY47" s="42"/>
      <c r="AZ47" s="42"/>
      <c r="BA47" s="42"/>
      <c r="BB47" s="42"/>
    </row>
    <row r="48" spans="1:54" x14ac:dyDescent="0.2">
      <c r="A48" s="42"/>
      <c r="B48" s="42"/>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2"/>
      <c r="AD48" s="42"/>
      <c r="AE48" s="42"/>
      <c r="AF48" s="42"/>
      <c r="AG48" s="42"/>
      <c r="AH48" s="42"/>
      <c r="AI48" s="42"/>
      <c r="AJ48" s="42"/>
      <c r="AK48" s="42"/>
      <c r="AL48" s="42"/>
      <c r="AM48" s="42"/>
      <c r="AN48" s="42"/>
      <c r="AO48" s="42"/>
      <c r="AP48" s="42"/>
      <c r="AQ48" s="42"/>
      <c r="AR48" s="42"/>
      <c r="AS48" s="42"/>
      <c r="AT48" s="42"/>
      <c r="AU48" s="42"/>
      <c r="AV48" s="42"/>
      <c r="AW48" s="42"/>
      <c r="AX48" s="42"/>
      <c r="AY48" s="42"/>
      <c r="AZ48" s="42"/>
      <c r="BA48" s="42"/>
      <c r="BB48" s="42"/>
    </row>
    <row r="49" spans="1:54" ht="13.5" thickBot="1" x14ac:dyDescent="0.25">
      <c r="A49" s="46" t="s">
        <v>209</v>
      </c>
      <c r="B49" s="22"/>
      <c r="C49" s="23">
        <v>4158.3725960000002</v>
      </c>
      <c r="D49" s="23">
        <v>4883.767284999999</v>
      </c>
      <c r="E49" s="23">
        <v>4724.5135460000001</v>
      </c>
      <c r="F49" s="23">
        <v>4808.2375199999997</v>
      </c>
      <c r="G49" s="23">
        <v>4523.0879540000005</v>
      </c>
      <c r="H49" s="23">
        <v>4818.5115160000005</v>
      </c>
      <c r="I49" s="23">
        <v>4892.5706890000001</v>
      </c>
      <c r="J49" s="23">
        <v>4442.1168369999996</v>
      </c>
      <c r="K49" s="23">
        <v>4719.6772069999997</v>
      </c>
      <c r="L49" s="23">
        <v>4700.0373469999995</v>
      </c>
      <c r="M49" s="23">
        <v>4628.3501420000002</v>
      </c>
      <c r="N49" s="23">
        <v>4700.4137559999999</v>
      </c>
      <c r="O49" s="23">
        <v>4520.6054469999999</v>
      </c>
      <c r="P49" s="23">
        <v>4515.2288289999988</v>
      </c>
      <c r="Q49" s="23">
        <v>4648.6752300000007</v>
      </c>
      <c r="R49" s="23">
        <v>4672.2991309999998</v>
      </c>
      <c r="S49" s="23">
        <v>4436.2052240000003</v>
      </c>
      <c r="T49" s="23">
        <v>4152.7852040000007</v>
      </c>
      <c r="U49" s="23">
        <v>4344.6205060000002</v>
      </c>
      <c r="V49" s="23">
        <v>4155.1772999999994</v>
      </c>
      <c r="W49" s="23">
        <v>4308.8230130000002</v>
      </c>
      <c r="X49" s="23">
        <v>4097.9384749999999</v>
      </c>
      <c r="Y49" s="23">
        <v>4092.9131639999996</v>
      </c>
      <c r="Z49" s="23">
        <v>4143.0075710000001</v>
      </c>
      <c r="AA49" s="23">
        <v>4053.122754</v>
      </c>
      <c r="AB49" s="23">
        <v>4112.650506</v>
      </c>
      <c r="AC49" s="23">
        <v>3603.9720109999989</v>
      </c>
      <c r="AD49" s="23">
        <v>3870.9704150000002</v>
      </c>
      <c r="AE49" s="23">
        <v>4415.4360570000008</v>
      </c>
      <c r="AF49" s="23">
        <v>4212.4634969999997</v>
      </c>
      <c r="AG49" s="23">
        <v>4271.0826459999998</v>
      </c>
      <c r="AH49" s="23">
        <v>4071.8008619999996</v>
      </c>
      <c r="AI49" s="23">
        <v>4242.8095940000003</v>
      </c>
      <c r="AJ49" s="23">
        <v>4186.5225389999996</v>
      </c>
      <c r="AK49" s="23">
        <v>4231.079487</v>
      </c>
      <c r="AL49" s="23">
        <v>4299.4147410000005</v>
      </c>
      <c r="AM49" s="23">
        <v>4420.7541209999999</v>
      </c>
      <c r="AN49" s="23">
        <v>4612.9674129999994</v>
      </c>
      <c r="AO49" s="23">
        <v>4735.2055910000008</v>
      </c>
      <c r="AP49" s="23">
        <v>4743.52664</v>
      </c>
      <c r="AQ49" s="23">
        <v>4725.0998680000002</v>
      </c>
      <c r="AR49" s="23">
        <v>4820.1409320000002</v>
      </c>
      <c r="AS49" s="23">
        <v>4826.9170679999988</v>
      </c>
      <c r="AT49" s="23">
        <v>4675.3263260000003</v>
      </c>
      <c r="AU49" s="23">
        <v>4767.2618059999995</v>
      </c>
      <c r="AV49" s="23">
        <v>4878.2114520000005</v>
      </c>
      <c r="AW49" s="23">
        <v>4609.3509020000001</v>
      </c>
      <c r="AX49" s="23">
        <v>4741.5941079999993</v>
      </c>
      <c r="AY49" s="23">
        <v>4637.9704070000007</v>
      </c>
      <c r="AZ49" s="23">
        <v>4634.1755279999998</v>
      </c>
      <c r="BA49" s="23">
        <v>4681.6065740000004</v>
      </c>
      <c r="BB49" s="23">
        <v>3872.6083509999994</v>
      </c>
    </row>
    <row r="50" spans="1:54" ht="13.5" thickTop="1" x14ac:dyDescent="0.2">
      <c r="A50" s="42"/>
      <c r="B50" s="42"/>
      <c r="C50" s="43"/>
      <c r="D50" s="42"/>
      <c r="E50" s="42"/>
      <c r="F50" s="42"/>
      <c r="G50" s="42"/>
      <c r="H50" s="42"/>
      <c r="I50" s="42"/>
      <c r="J50" s="42"/>
      <c r="K50" s="42"/>
      <c r="L50" s="42"/>
      <c r="M50" s="42"/>
      <c r="N50" s="42"/>
      <c r="O50" s="42"/>
      <c r="P50" s="42"/>
      <c r="Q50" s="42"/>
      <c r="R50" s="42"/>
      <c r="S50" s="42"/>
      <c r="T50" s="42"/>
      <c r="U50" s="42"/>
      <c r="V50" s="42"/>
      <c r="W50" s="42"/>
      <c r="X50" s="42"/>
      <c r="Y50" s="42"/>
      <c r="Z50" s="42"/>
      <c r="AA50" s="42"/>
      <c r="AB50" s="42"/>
      <c r="AC50" s="42"/>
      <c r="AD50" s="42"/>
      <c r="AE50" s="42"/>
      <c r="AF50" s="42"/>
      <c r="AG50" s="42"/>
      <c r="AH50" s="42"/>
      <c r="AI50" s="42"/>
      <c r="AJ50" s="42"/>
      <c r="AK50" s="42"/>
      <c r="AL50" s="42"/>
      <c r="AM50" s="42"/>
      <c r="AN50" s="42"/>
      <c r="AO50" s="42"/>
      <c r="AP50" s="42"/>
      <c r="AQ50" s="42"/>
      <c r="AR50" s="42"/>
      <c r="AS50" s="42"/>
      <c r="AT50" s="42"/>
      <c r="AU50" s="42"/>
      <c r="AV50" s="42"/>
      <c r="AW50" s="42"/>
      <c r="AX50" s="42"/>
      <c r="AY50" s="42"/>
      <c r="AZ50" s="42"/>
      <c r="BA50" s="42"/>
      <c r="BB50" s="42"/>
    </row>
  </sheetData>
  <sheetProtection algorithmName="SHA-512" hashValue="qBP449izktYBACDO5ESIISFbT2ol29d6a3OHSEOGt950VsoWtWCY+bIvrJOK0VJ5DfISkGeZPKal2axNysH9Ww==" saltValue="mpaE72N1wkZ8KRHy4h0arA==" spinCount="100000" sheet="1" objects="1" scenarios="1"/>
  <mergeCells count="1">
    <mergeCell ref="A1:BC1"/>
  </mergeCells>
  <pageMargins left="0.17" right="0.17" top="0.17" bottom="0.5" header="0.17" footer="0.5"/>
  <pageSetup scale="70" fitToWidth="0" orientation="landscape" r:id="rId1"/>
  <headerFooter alignWithMargins="0"/>
  <colBreaks count="3" manualBreakCount="3">
    <brk id="15" max="48" man="1"/>
    <brk id="28" max="48" man="1"/>
    <brk id="41" max="48"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13A39-A665-4B3F-874C-509CB6ABAEC7}">
  <sheetPr codeName="Sheet7">
    <tabColor rgb="FFFF0000"/>
  </sheetPr>
  <dimension ref="A1:BC50"/>
  <sheetViews>
    <sheetView topLeftCell="A18" workbookViewId="0">
      <selection activeCell="C22" sqref="C22"/>
    </sheetView>
  </sheetViews>
  <sheetFormatPr defaultColWidth="6.7109375" defaultRowHeight="12.75" x14ac:dyDescent="0.2"/>
  <cols>
    <col min="1" max="1" width="7.28515625" style="1" customWidth="1"/>
    <col min="2" max="2" width="53" style="1" bestFit="1" customWidth="1"/>
    <col min="3" max="3" width="9.5703125" style="3" bestFit="1" customWidth="1"/>
    <col min="4" max="53" width="9.42578125" style="1" customWidth="1"/>
    <col min="54" max="54" width="8.85546875" style="1" customWidth="1"/>
    <col min="55" max="16384" width="6.7109375" style="1"/>
  </cols>
  <sheetData>
    <row r="1" spans="1:55" ht="50.45" customHeight="1" x14ac:dyDescent="0.4">
      <c r="A1" s="143" t="s">
        <v>212</v>
      </c>
      <c r="B1" s="144"/>
      <c r="C1" s="144"/>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c r="AH1" s="144"/>
      <c r="AI1" s="144"/>
      <c r="AJ1" s="144"/>
      <c r="AK1" s="144"/>
      <c r="AL1" s="144"/>
      <c r="AM1" s="144"/>
      <c r="AN1" s="144"/>
      <c r="AO1" s="144"/>
      <c r="AP1" s="144"/>
      <c r="AQ1" s="144"/>
      <c r="AR1" s="144"/>
      <c r="AS1" s="144"/>
      <c r="AT1" s="144"/>
      <c r="AU1" s="144"/>
      <c r="AV1" s="144"/>
      <c r="AW1" s="144"/>
      <c r="AX1" s="144"/>
      <c r="AY1" s="144"/>
      <c r="AZ1" s="144"/>
      <c r="BA1" s="144"/>
      <c r="BB1" s="144"/>
      <c r="BC1" s="144"/>
    </row>
    <row r="2" spans="1:55" ht="13.5" thickBot="1" x14ac:dyDescent="0.25">
      <c r="A2" s="4"/>
      <c r="B2" s="7" t="s">
        <v>178</v>
      </c>
      <c r="C2" s="5">
        <v>1</v>
      </c>
      <c r="D2" s="5">
        <v>2</v>
      </c>
      <c r="E2" s="5">
        <v>3</v>
      </c>
      <c r="F2" s="5">
        <v>4</v>
      </c>
      <c r="G2" s="5">
        <v>5</v>
      </c>
      <c r="H2" s="5">
        <v>6</v>
      </c>
      <c r="I2" s="5">
        <v>7</v>
      </c>
      <c r="J2" s="5">
        <v>8</v>
      </c>
      <c r="K2" s="5">
        <v>9</v>
      </c>
      <c r="L2" s="5">
        <v>10</v>
      </c>
      <c r="M2" s="5">
        <v>11</v>
      </c>
      <c r="N2" s="5">
        <v>12</v>
      </c>
      <c r="O2" s="5">
        <v>13</v>
      </c>
      <c r="P2" s="5">
        <v>14</v>
      </c>
      <c r="Q2" s="5">
        <v>15</v>
      </c>
      <c r="R2" s="5">
        <v>16</v>
      </c>
      <c r="S2" s="5">
        <v>17</v>
      </c>
      <c r="T2" s="5">
        <v>18</v>
      </c>
      <c r="U2" s="5">
        <v>19</v>
      </c>
      <c r="V2" s="5">
        <v>20</v>
      </c>
      <c r="W2" s="5">
        <v>21</v>
      </c>
      <c r="X2" s="5">
        <v>22</v>
      </c>
      <c r="Y2" s="5">
        <v>23</v>
      </c>
      <c r="Z2" s="5">
        <v>24</v>
      </c>
      <c r="AA2" s="5">
        <v>25</v>
      </c>
      <c r="AB2" s="5">
        <v>26</v>
      </c>
      <c r="AC2" s="5">
        <v>27</v>
      </c>
      <c r="AD2" s="5">
        <v>28</v>
      </c>
      <c r="AE2" s="5">
        <v>29</v>
      </c>
      <c r="AF2" s="5">
        <v>30</v>
      </c>
      <c r="AG2" s="5">
        <v>31</v>
      </c>
      <c r="AH2" s="5">
        <v>32</v>
      </c>
      <c r="AI2" s="5">
        <v>33</v>
      </c>
      <c r="AJ2" s="5">
        <v>34</v>
      </c>
      <c r="AK2" s="5">
        <v>35</v>
      </c>
      <c r="AL2" s="5">
        <v>36</v>
      </c>
      <c r="AM2" s="5">
        <v>37</v>
      </c>
      <c r="AN2" s="5">
        <v>38</v>
      </c>
      <c r="AO2" s="5">
        <v>39</v>
      </c>
      <c r="AP2" s="5">
        <v>40</v>
      </c>
      <c r="AQ2" s="5">
        <v>41</v>
      </c>
      <c r="AR2" s="5">
        <v>42</v>
      </c>
      <c r="AS2" s="5">
        <v>43</v>
      </c>
      <c r="AT2" s="5">
        <v>44</v>
      </c>
      <c r="AU2" s="5">
        <v>45</v>
      </c>
      <c r="AV2" s="5">
        <v>46</v>
      </c>
      <c r="AW2" s="5">
        <v>47</v>
      </c>
      <c r="AX2" s="5">
        <v>48</v>
      </c>
      <c r="AY2" s="5">
        <v>49</v>
      </c>
      <c r="AZ2" s="5">
        <v>50</v>
      </c>
      <c r="BA2" s="5">
        <v>51</v>
      </c>
      <c r="BB2" s="5">
        <v>52</v>
      </c>
      <c r="BC2" s="42"/>
    </row>
    <row r="3" spans="1:55" s="2" customFormat="1" ht="24.75" thickBot="1" x14ac:dyDescent="0.25">
      <c r="A3" s="6"/>
      <c r="B3" s="50" t="s">
        <v>179</v>
      </c>
      <c r="C3" s="51">
        <v>44563</v>
      </c>
      <c r="D3" s="51">
        <v>44570</v>
      </c>
      <c r="E3" s="51">
        <v>44577</v>
      </c>
      <c r="F3" s="51">
        <v>44584</v>
      </c>
      <c r="G3" s="51">
        <v>44591</v>
      </c>
      <c r="H3" s="51">
        <v>44598</v>
      </c>
      <c r="I3" s="51">
        <v>44605</v>
      </c>
      <c r="J3" s="51">
        <v>44612</v>
      </c>
      <c r="K3" s="51">
        <v>44619</v>
      </c>
      <c r="L3" s="51">
        <v>44626</v>
      </c>
      <c r="M3" s="51">
        <v>44633</v>
      </c>
      <c r="N3" s="51">
        <v>44640</v>
      </c>
      <c r="O3" s="51">
        <v>44647</v>
      </c>
      <c r="P3" s="51">
        <v>44654</v>
      </c>
      <c r="Q3" s="51">
        <v>44661</v>
      </c>
      <c r="R3" s="51">
        <v>44668</v>
      </c>
      <c r="S3" s="51">
        <v>44675</v>
      </c>
      <c r="T3" s="51">
        <v>44682</v>
      </c>
      <c r="U3" s="51">
        <v>44689</v>
      </c>
      <c r="V3" s="51">
        <v>44696</v>
      </c>
      <c r="W3" s="51">
        <v>44703</v>
      </c>
      <c r="X3" s="51">
        <v>44710</v>
      </c>
      <c r="Y3" s="51">
        <v>44717</v>
      </c>
      <c r="Z3" s="51">
        <v>44724</v>
      </c>
      <c r="AA3" s="51">
        <v>44731</v>
      </c>
      <c r="AB3" s="51">
        <v>44738</v>
      </c>
      <c r="AC3" s="51">
        <v>44745</v>
      </c>
      <c r="AD3" s="51">
        <v>44752</v>
      </c>
      <c r="AE3" s="51">
        <v>44759</v>
      </c>
      <c r="AF3" s="51">
        <v>44766</v>
      </c>
      <c r="AG3" s="51">
        <v>44773</v>
      </c>
      <c r="AH3" s="51">
        <v>44780</v>
      </c>
      <c r="AI3" s="51">
        <v>44787</v>
      </c>
      <c r="AJ3" s="51">
        <v>44794</v>
      </c>
      <c r="AK3" s="51">
        <v>44801</v>
      </c>
      <c r="AL3" s="51">
        <v>44808</v>
      </c>
      <c r="AM3" s="51">
        <v>44815</v>
      </c>
      <c r="AN3" s="51">
        <v>44822</v>
      </c>
      <c r="AO3" s="51">
        <v>44829</v>
      </c>
      <c r="AP3" s="51">
        <v>44836</v>
      </c>
      <c r="AQ3" s="51">
        <v>44843</v>
      </c>
      <c r="AR3" s="51">
        <v>44850</v>
      </c>
      <c r="AS3" s="51">
        <v>44857</v>
      </c>
      <c r="AT3" s="51">
        <v>44864</v>
      </c>
      <c r="AU3" s="51">
        <v>44871</v>
      </c>
      <c r="AV3" s="51">
        <v>44878</v>
      </c>
      <c r="AW3" s="51">
        <v>44885</v>
      </c>
      <c r="AX3" s="51">
        <v>44892</v>
      </c>
      <c r="AY3" s="51">
        <v>44899</v>
      </c>
      <c r="AZ3" s="51">
        <v>44906</v>
      </c>
      <c r="BA3" s="51">
        <v>44913</v>
      </c>
      <c r="BB3" s="51">
        <v>44920</v>
      </c>
      <c r="BC3" s="53"/>
    </row>
    <row r="4" spans="1:55" x14ac:dyDescent="0.2">
      <c r="A4" s="9" t="s">
        <v>180</v>
      </c>
      <c r="B4" s="10"/>
      <c r="C4" s="11">
        <v>5169</v>
      </c>
      <c r="D4" s="11">
        <v>5901</v>
      </c>
      <c r="E4" s="11">
        <v>5849</v>
      </c>
      <c r="F4" s="11">
        <v>6023</v>
      </c>
      <c r="G4" s="11">
        <v>5215</v>
      </c>
      <c r="H4" s="11">
        <v>5943</v>
      </c>
      <c r="I4" s="11">
        <v>5728</v>
      </c>
      <c r="J4" s="11">
        <v>5333</v>
      </c>
      <c r="K4" s="11">
        <v>5770</v>
      </c>
      <c r="L4" s="11">
        <v>6119</v>
      </c>
      <c r="M4" s="11">
        <v>5894</v>
      </c>
      <c r="N4" s="11">
        <v>6241</v>
      </c>
      <c r="O4" s="11">
        <v>6202</v>
      </c>
      <c r="P4" s="11">
        <v>5987</v>
      </c>
      <c r="Q4" s="11">
        <v>6151</v>
      </c>
      <c r="R4" s="11">
        <v>6392</v>
      </c>
      <c r="S4" s="11">
        <v>6480</v>
      </c>
      <c r="T4" s="11">
        <v>6409</v>
      </c>
      <c r="U4" s="11">
        <v>6279</v>
      </c>
      <c r="V4" s="11">
        <v>6467</v>
      </c>
      <c r="W4" s="11">
        <v>6414</v>
      </c>
      <c r="X4" s="11">
        <v>6205</v>
      </c>
      <c r="Y4" s="11">
        <v>6240</v>
      </c>
      <c r="Z4" s="11">
        <v>6278</v>
      </c>
      <c r="AA4" s="11">
        <v>6066</v>
      </c>
      <c r="AB4" s="11">
        <v>6065</v>
      </c>
      <c r="AC4" s="11">
        <v>6469</v>
      </c>
      <c r="AD4" s="11">
        <v>6081</v>
      </c>
      <c r="AE4" s="11">
        <v>6079</v>
      </c>
      <c r="AF4" s="11">
        <v>6297</v>
      </c>
      <c r="AG4" s="11">
        <v>6030</v>
      </c>
      <c r="AH4" s="11">
        <v>6003</v>
      </c>
      <c r="AI4" s="11">
        <v>6239</v>
      </c>
      <c r="AJ4" s="11">
        <v>6257</v>
      </c>
      <c r="AK4" s="11">
        <v>6374</v>
      </c>
      <c r="AL4" s="11">
        <v>6041</v>
      </c>
      <c r="AM4" s="11">
        <v>6107</v>
      </c>
      <c r="AN4" s="11">
        <v>6381</v>
      </c>
      <c r="AO4" s="11">
        <v>6162</v>
      </c>
      <c r="AP4" s="11">
        <v>6231</v>
      </c>
      <c r="AQ4" s="11">
        <v>6008</v>
      </c>
      <c r="AR4" s="11">
        <v>6134</v>
      </c>
      <c r="AS4" s="11">
        <v>6190</v>
      </c>
      <c r="AT4" s="11">
        <v>6186</v>
      </c>
      <c r="AU4" s="11">
        <v>5858</v>
      </c>
      <c r="AV4" s="11">
        <v>6112</v>
      </c>
      <c r="AW4" s="11">
        <v>6103</v>
      </c>
      <c r="AX4" s="11">
        <v>6103</v>
      </c>
      <c r="AY4" s="11">
        <v>5912</v>
      </c>
      <c r="AZ4" s="11">
        <v>5749</v>
      </c>
      <c r="BA4" s="11">
        <v>4846</v>
      </c>
      <c r="BB4" s="11">
        <v>4119</v>
      </c>
      <c r="BC4" s="42"/>
    </row>
    <row r="5" spans="1:55" x14ac:dyDescent="0.2">
      <c r="A5" s="12"/>
      <c r="B5" s="15" t="s">
        <v>181</v>
      </c>
      <c r="C5" s="13">
        <v>2141</v>
      </c>
      <c r="D5" s="13">
        <v>2553</v>
      </c>
      <c r="E5" s="13">
        <v>2532</v>
      </c>
      <c r="F5" s="13">
        <v>2643</v>
      </c>
      <c r="G5" s="13">
        <v>2023</v>
      </c>
      <c r="H5" s="13">
        <v>2356</v>
      </c>
      <c r="I5" s="13">
        <v>2272</v>
      </c>
      <c r="J5" s="13">
        <v>2027</v>
      </c>
      <c r="K5" s="13">
        <v>2344</v>
      </c>
      <c r="L5" s="13">
        <v>2683</v>
      </c>
      <c r="M5" s="13">
        <v>2656</v>
      </c>
      <c r="N5" s="13">
        <v>2688</v>
      </c>
      <c r="O5" s="13">
        <v>2528</v>
      </c>
      <c r="P5" s="13">
        <v>2565</v>
      </c>
      <c r="Q5" s="13">
        <v>2622</v>
      </c>
      <c r="R5" s="13">
        <v>2736</v>
      </c>
      <c r="S5" s="13">
        <v>2708</v>
      </c>
      <c r="T5" s="13">
        <v>2830</v>
      </c>
      <c r="U5" s="13">
        <v>2717</v>
      </c>
      <c r="V5" s="13">
        <v>2766</v>
      </c>
      <c r="W5" s="13">
        <v>2885</v>
      </c>
      <c r="X5" s="13">
        <v>2701</v>
      </c>
      <c r="Y5" s="13">
        <v>2659</v>
      </c>
      <c r="Z5" s="13">
        <v>2814</v>
      </c>
      <c r="AA5" s="13">
        <v>2685</v>
      </c>
      <c r="AB5" s="13">
        <v>2423</v>
      </c>
      <c r="AC5" s="13">
        <v>2926</v>
      </c>
      <c r="AD5" s="13">
        <v>2753</v>
      </c>
      <c r="AE5" s="13">
        <v>2652</v>
      </c>
      <c r="AF5" s="13">
        <v>2821</v>
      </c>
      <c r="AG5" s="13">
        <v>2547</v>
      </c>
      <c r="AH5" s="13">
        <v>2766</v>
      </c>
      <c r="AI5" s="13">
        <v>2800</v>
      </c>
      <c r="AJ5" s="13">
        <v>2647</v>
      </c>
      <c r="AK5" s="13">
        <v>2867</v>
      </c>
      <c r="AL5" s="13">
        <v>2591</v>
      </c>
      <c r="AM5" s="13">
        <v>2728</v>
      </c>
      <c r="AN5" s="13">
        <v>2760</v>
      </c>
      <c r="AO5" s="13">
        <v>2701</v>
      </c>
      <c r="AP5" s="13">
        <v>2628</v>
      </c>
      <c r="AQ5" s="13">
        <v>2461</v>
      </c>
      <c r="AR5" s="13">
        <v>2606</v>
      </c>
      <c r="AS5" s="13">
        <v>2686</v>
      </c>
      <c r="AT5" s="13">
        <v>2683</v>
      </c>
      <c r="AU5" s="13">
        <v>2472</v>
      </c>
      <c r="AV5" s="13">
        <v>2764</v>
      </c>
      <c r="AW5" s="13">
        <v>2497</v>
      </c>
      <c r="AX5" s="13">
        <v>2516</v>
      </c>
      <c r="AY5" s="13">
        <v>2460</v>
      </c>
      <c r="AZ5" s="13">
        <v>2336</v>
      </c>
      <c r="BA5" s="13">
        <v>1936</v>
      </c>
      <c r="BB5" s="13">
        <v>1321</v>
      </c>
      <c r="BC5" s="42"/>
    </row>
    <row r="6" spans="1:55" x14ac:dyDescent="0.2">
      <c r="A6" s="12"/>
      <c r="B6" s="15" t="s">
        <v>182</v>
      </c>
      <c r="C6" s="13">
        <v>628</v>
      </c>
      <c r="D6" s="13">
        <v>786</v>
      </c>
      <c r="E6" s="13">
        <v>915</v>
      </c>
      <c r="F6" s="13">
        <v>995</v>
      </c>
      <c r="G6" s="13">
        <v>842</v>
      </c>
      <c r="H6" s="13">
        <v>1055</v>
      </c>
      <c r="I6" s="13">
        <v>921</v>
      </c>
      <c r="J6" s="13">
        <v>901</v>
      </c>
      <c r="K6" s="13">
        <v>939</v>
      </c>
      <c r="L6" s="13">
        <v>1024</v>
      </c>
      <c r="M6" s="13">
        <v>798</v>
      </c>
      <c r="N6" s="13">
        <v>1098</v>
      </c>
      <c r="O6" s="13">
        <v>1181</v>
      </c>
      <c r="P6" s="13">
        <v>853</v>
      </c>
      <c r="Q6" s="13">
        <v>998</v>
      </c>
      <c r="R6" s="13">
        <v>963</v>
      </c>
      <c r="S6" s="13">
        <v>1098</v>
      </c>
      <c r="T6" s="13">
        <v>972</v>
      </c>
      <c r="U6" s="13">
        <v>1000</v>
      </c>
      <c r="V6" s="13">
        <v>1117</v>
      </c>
      <c r="W6" s="13">
        <v>945</v>
      </c>
      <c r="X6" s="13">
        <v>871</v>
      </c>
      <c r="Y6" s="13">
        <v>997</v>
      </c>
      <c r="Z6" s="13">
        <v>1033</v>
      </c>
      <c r="AA6" s="13">
        <v>997</v>
      </c>
      <c r="AB6" s="13">
        <v>1046</v>
      </c>
      <c r="AC6" s="13">
        <v>937</v>
      </c>
      <c r="AD6" s="13">
        <v>860</v>
      </c>
      <c r="AE6" s="13">
        <v>987</v>
      </c>
      <c r="AF6" s="13">
        <v>897</v>
      </c>
      <c r="AG6" s="13">
        <v>956</v>
      </c>
      <c r="AH6" s="13">
        <v>799</v>
      </c>
      <c r="AI6" s="13">
        <v>906</v>
      </c>
      <c r="AJ6" s="13">
        <v>1059</v>
      </c>
      <c r="AK6" s="13">
        <v>906</v>
      </c>
      <c r="AL6" s="13">
        <v>869</v>
      </c>
      <c r="AM6" s="13">
        <v>939</v>
      </c>
      <c r="AN6" s="13">
        <v>906</v>
      </c>
      <c r="AO6" s="13">
        <v>984</v>
      </c>
      <c r="AP6" s="13">
        <v>1010</v>
      </c>
      <c r="AQ6" s="13">
        <v>978</v>
      </c>
      <c r="AR6" s="13">
        <v>993</v>
      </c>
      <c r="AS6" s="13">
        <v>1026</v>
      </c>
      <c r="AT6" s="13">
        <v>979</v>
      </c>
      <c r="AU6" s="13">
        <v>1000</v>
      </c>
      <c r="AV6" s="13">
        <v>879</v>
      </c>
      <c r="AW6" s="13">
        <v>969</v>
      </c>
      <c r="AX6" s="13">
        <v>910</v>
      </c>
      <c r="AY6" s="13">
        <v>892</v>
      </c>
      <c r="AZ6" s="13">
        <v>876</v>
      </c>
      <c r="BA6" s="13">
        <v>566</v>
      </c>
      <c r="BB6" s="13">
        <v>478</v>
      </c>
      <c r="BC6" s="42"/>
    </row>
    <row r="7" spans="1:55" x14ac:dyDescent="0.2">
      <c r="A7" s="12"/>
      <c r="B7" s="15" t="s">
        <v>183</v>
      </c>
      <c r="C7" s="13">
        <v>2400</v>
      </c>
      <c r="D7" s="13">
        <v>2562</v>
      </c>
      <c r="E7" s="13">
        <v>2402</v>
      </c>
      <c r="F7" s="13">
        <v>2385</v>
      </c>
      <c r="G7" s="13">
        <v>2350</v>
      </c>
      <c r="H7" s="13">
        <v>2532</v>
      </c>
      <c r="I7" s="13">
        <v>2535</v>
      </c>
      <c r="J7" s="13">
        <v>2405</v>
      </c>
      <c r="K7" s="13">
        <v>2487</v>
      </c>
      <c r="L7" s="13">
        <v>2412</v>
      </c>
      <c r="M7" s="13">
        <v>2440</v>
      </c>
      <c r="N7" s="13">
        <v>2455</v>
      </c>
      <c r="O7" s="13">
        <v>2493</v>
      </c>
      <c r="P7" s="13">
        <v>2569</v>
      </c>
      <c r="Q7" s="13">
        <v>2531</v>
      </c>
      <c r="R7" s="13">
        <v>2693</v>
      </c>
      <c r="S7" s="13">
        <v>2674</v>
      </c>
      <c r="T7" s="13">
        <v>2607</v>
      </c>
      <c r="U7" s="13">
        <v>2562</v>
      </c>
      <c r="V7" s="13">
        <v>2584</v>
      </c>
      <c r="W7" s="13">
        <v>2584</v>
      </c>
      <c r="X7" s="13">
        <v>2633</v>
      </c>
      <c r="Y7" s="13">
        <v>2584</v>
      </c>
      <c r="Z7" s="13">
        <v>2431</v>
      </c>
      <c r="AA7" s="13">
        <v>2384</v>
      </c>
      <c r="AB7" s="13">
        <v>2596</v>
      </c>
      <c r="AC7" s="13">
        <v>2606</v>
      </c>
      <c r="AD7" s="13">
        <v>2468</v>
      </c>
      <c r="AE7" s="13">
        <v>2440</v>
      </c>
      <c r="AF7" s="13">
        <v>2579</v>
      </c>
      <c r="AG7" s="13">
        <v>2527</v>
      </c>
      <c r="AH7" s="13">
        <v>2438</v>
      </c>
      <c r="AI7" s="13">
        <v>2533</v>
      </c>
      <c r="AJ7" s="13">
        <v>2551</v>
      </c>
      <c r="AK7" s="13">
        <v>2601</v>
      </c>
      <c r="AL7" s="13">
        <v>2581</v>
      </c>
      <c r="AM7" s="13">
        <v>2440</v>
      </c>
      <c r="AN7" s="13">
        <v>2715</v>
      </c>
      <c r="AO7" s="13">
        <v>2477</v>
      </c>
      <c r="AP7" s="13">
        <v>2593</v>
      </c>
      <c r="AQ7" s="13">
        <v>2569</v>
      </c>
      <c r="AR7" s="13">
        <v>2535</v>
      </c>
      <c r="AS7" s="13">
        <v>2478</v>
      </c>
      <c r="AT7" s="13">
        <v>2524</v>
      </c>
      <c r="AU7" s="13">
        <v>2386</v>
      </c>
      <c r="AV7" s="13">
        <v>2469</v>
      </c>
      <c r="AW7" s="13">
        <v>2637</v>
      </c>
      <c r="AX7" s="13">
        <v>2677</v>
      </c>
      <c r="AY7" s="13">
        <v>2560</v>
      </c>
      <c r="AZ7" s="13">
        <v>2537</v>
      </c>
      <c r="BA7" s="13">
        <v>2344</v>
      </c>
      <c r="BB7" s="13">
        <v>2320</v>
      </c>
      <c r="BC7" s="42"/>
    </row>
    <row r="8" spans="1:55" x14ac:dyDescent="0.2">
      <c r="A8" s="12"/>
      <c r="B8" s="15"/>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42"/>
    </row>
    <row r="9" spans="1:55" x14ac:dyDescent="0.2">
      <c r="A9" s="16" t="s">
        <v>184</v>
      </c>
      <c r="B9" s="12"/>
      <c r="C9" s="11">
        <v>13804</v>
      </c>
      <c r="D9" s="11">
        <v>16020</v>
      </c>
      <c r="E9" s="11">
        <v>14977</v>
      </c>
      <c r="F9" s="11">
        <v>15650</v>
      </c>
      <c r="G9" s="11">
        <v>15185</v>
      </c>
      <c r="H9" s="11">
        <v>15783</v>
      </c>
      <c r="I9" s="11">
        <v>15985</v>
      </c>
      <c r="J9" s="11">
        <v>15698</v>
      </c>
      <c r="K9" s="11">
        <v>16669</v>
      </c>
      <c r="L9" s="11">
        <v>15914</v>
      </c>
      <c r="M9" s="11">
        <v>17127</v>
      </c>
      <c r="N9" s="11">
        <v>18269</v>
      </c>
      <c r="O9" s="11">
        <v>16819</v>
      </c>
      <c r="P9" s="11">
        <v>16857</v>
      </c>
      <c r="Q9" s="11">
        <v>16272</v>
      </c>
      <c r="R9" s="11">
        <v>15554</v>
      </c>
      <c r="S9" s="11">
        <v>16504</v>
      </c>
      <c r="T9" s="11">
        <v>15769</v>
      </c>
      <c r="U9" s="11">
        <v>15702</v>
      </c>
      <c r="V9" s="11">
        <v>16357</v>
      </c>
      <c r="W9" s="11">
        <v>16825</v>
      </c>
      <c r="X9" s="11">
        <v>15336</v>
      </c>
      <c r="Y9" s="11">
        <v>16224</v>
      </c>
      <c r="Z9" s="11">
        <v>15725</v>
      </c>
      <c r="AA9" s="11">
        <v>16152</v>
      </c>
      <c r="AB9" s="11">
        <v>15320</v>
      </c>
      <c r="AC9" s="11">
        <v>14861</v>
      </c>
      <c r="AD9" s="11">
        <v>16245</v>
      </c>
      <c r="AE9" s="11">
        <v>15455</v>
      </c>
      <c r="AF9" s="11">
        <v>15399</v>
      </c>
      <c r="AG9" s="11">
        <v>15293</v>
      </c>
      <c r="AH9" s="11">
        <v>15632</v>
      </c>
      <c r="AI9" s="11">
        <v>15589</v>
      </c>
      <c r="AJ9" s="11">
        <v>15125</v>
      </c>
      <c r="AK9" s="11">
        <v>15209</v>
      </c>
      <c r="AL9" s="11">
        <v>14484</v>
      </c>
      <c r="AM9" s="11">
        <v>15075</v>
      </c>
      <c r="AN9" s="11">
        <v>14804</v>
      </c>
      <c r="AO9" s="11">
        <v>14510</v>
      </c>
      <c r="AP9" s="11">
        <v>15528</v>
      </c>
      <c r="AQ9" s="11">
        <v>14943</v>
      </c>
      <c r="AR9" s="11">
        <v>15041</v>
      </c>
      <c r="AS9" s="11">
        <v>15680</v>
      </c>
      <c r="AT9" s="11">
        <v>15079</v>
      </c>
      <c r="AU9" s="11">
        <v>15840</v>
      </c>
      <c r="AV9" s="11">
        <v>14925</v>
      </c>
      <c r="AW9" s="11">
        <v>15209</v>
      </c>
      <c r="AX9" s="11">
        <v>15708</v>
      </c>
      <c r="AY9" s="11">
        <v>15103</v>
      </c>
      <c r="AZ9" s="11">
        <v>15224</v>
      </c>
      <c r="BA9" s="11">
        <v>12657</v>
      </c>
      <c r="BB9" s="11">
        <v>13558</v>
      </c>
      <c r="BC9" s="42"/>
    </row>
    <row r="10" spans="1:55" x14ac:dyDescent="0.2">
      <c r="A10" s="12"/>
      <c r="B10" s="15" t="s">
        <v>185</v>
      </c>
      <c r="C10" s="13">
        <v>7879</v>
      </c>
      <c r="D10" s="13">
        <v>8650</v>
      </c>
      <c r="E10" s="13">
        <v>7852</v>
      </c>
      <c r="F10" s="13">
        <v>8125</v>
      </c>
      <c r="G10" s="13">
        <v>8500</v>
      </c>
      <c r="H10" s="13">
        <v>8517</v>
      </c>
      <c r="I10" s="13">
        <v>8526</v>
      </c>
      <c r="J10" s="13">
        <v>8377</v>
      </c>
      <c r="K10" s="13">
        <v>9231</v>
      </c>
      <c r="L10" s="13">
        <v>8626</v>
      </c>
      <c r="M10" s="13">
        <v>9459</v>
      </c>
      <c r="N10" s="13">
        <v>10128</v>
      </c>
      <c r="O10" s="13">
        <v>9761</v>
      </c>
      <c r="P10" s="13">
        <v>9167</v>
      </c>
      <c r="Q10" s="13">
        <v>9102</v>
      </c>
      <c r="R10" s="13">
        <v>8559</v>
      </c>
      <c r="S10" s="13">
        <v>8702</v>
      </c>
      <c r="T10" s="13">
        <v>8576</v>
      </c>
      <c r="U10" s="13">
        <v>8479</v>
      </c>
      <c r="V10" s="13">
        <v>8315</v>
      </c>
      <c r="W10" s="13">
        <v>8935</v>
      </c>
      <c r="X10" s="13">
        <v>8434</v>
      </c>
      <c r="Y10" s="13">
        <v>8772</v>
      </c>
      <c r="Z10" s="13">
        <v>8233</v>
      </c>
      <c r="AA10" s="13">
        <v>8500</v>
      </c>
      <c r="AB10" s="13">
        <v>7611</v>
      </c>
      <c r="AC10" s="13">
        <v>7560</v>
      </c>
      <c r="AD10" s="13">
        <v>8040</v>
      </c>
      <c r="AE10" s="13">
        <v>7825</v>
      </c>
      <c r="AF10" s="13">
        <v>7850</v>
      </c>
      <c r="AG10" s="13">
        <v>8023</v>
      </c>
      <c r="AH10" s="13">
        <v>8229</v>
      </c>
      <c r="AI10" s="13">
        <v>7985</v>
      </c>
      <c r="AJ10" s="13">
        <v>7908</v>
      </c>
      <c r="AK10" s="13">
        <v>7727</v>
      </c>
      <c r="AL10" s="13">
        <v>7818</v>
      </c>
      <c r="AM10" s="13">
        <v>8230</v>
      </c>
      <c r="AN10" s="13">
        <v>7917</v>
      </c>
      <c r="AO10" s="13">
        <v>7836</v>
      </c>
      <c r="AP10" s="13">
        <v>8035</v>
      </c>
      <c r="AQ10" s="13">
        <v>7994</v>
      </c>
      <c r="AR10" s="13">
        <v>7901</v>
      </c>
      <c r="AS10" s="13">
        <v>8104</v>
      </c>
      <c r="AT10" s="13">
        <v>7869</v>
      </c>
      <c r="AU10" s="13">
        <v>8380</v>
      </c>
      <c r="AV10" s="13">
        <v>7606</v>
      </c>
      <c r="AW10" s="13">
        <v>7659</v>
      </c>
      <c r="AX10" s="13">
        <v>7798</v>
      </c>
      <c r="AY10" s="13">
        <v>7875</v>
      </c>
      <c r="AZ10" s="13">
        <v>7566</v>
      </c>
      <c r="BA10" s="13">
        <v>6449</v>
      </c>
      <c r="BB10" s="13">
        <v>6832</v>
      </c>
      <c r="BC10" s="42"/>
    </row>
    <row r="11" spans="1:55" x14ac:dyDescent="0.2">
      <c r="A11" s="12"/>
      <c r="B11" s="15" t="s">
        <v>186</v>
      </c>
      <c r="C11" s="13">
        <v>5258</v>
      </c>
      <c r="D11" s="13">
        <v>6656</v>
      </c>
      <c r="E11" s="13">
        <v>6264</v>
      </c>
      <c r="F11" s="13">
        <v>6370</v>
      </c>
      <c r="G11" s="13">
        <v>5898</v>
      </c>
      <c r="H11" s="13">
        <v>6493</v>
      </c>
      <c r="I11" s="13">
        <v>6409</v>
      </c>
      <c r="J11" s="13">
        <v>6389</v>
      </c>
      <c r="K11" s="13">
        <v>6411</v>
      </c>
      <c r="L11" s="13">
        <v>6000</v>
      </c>
      <c r="M11" s="13">
        <v>6719</v>
      </c>
      <c r="N11" s="13">
        <v>6847</v>
      </c>
      <c r="O11" s="13">
        <v>5957</v>
      </c>
      <c r="P11" s="13">
        <v>6480</v>
      </c>
      <c r="Q11" s="13">
        <v>6151</v>
      </c>
      <c r="R11" s="13">
        <v>5698</v>
      </c>
      <c r="S11" s="13">
        <v>6494</v>
      </c>
      <c r="T11" s="13">
        <v>5861</v>
      </c>
      <c r="U11" s="13">
        <v>6031</v>
      </c>
      <c r="V11" s="13">
        <v>6838</v>
      </c>
      <c r="W11" s="13">
        <v>6865</v>
      </c>
      <c r="X11" s="13">
        <v>6079</v>
      </c>
      <c r="Y11" s="13">
        <v>6450</v>
      </c>
      <c r="Z11" s="13">
        <v>6706</v>
      </c>
      <c r="AA11" s="13">
        <v>7014</v>
      </c>
      <c r="AB11" s="13">
        <v>6671</v>
      </c>
      <c r="AC11" s="13">
        <v>6457</v>
      </c>
      <c r="AD11" s="13">
        <v>7162</v>
      </c>
      <c r="AE11" s="13">
        <v>6673</v>
      </c>
      <c r="AF11" s="13">
        <v>6495</v>
      </c>
      <c r="AG11" s="13">
        <v>6129</v>
      </c>
      <c r="AH11" s="13">
        <v>6497</v>
      </c>
      <c r="AI11" s="13">
        <v>6491</v>
      </c>
      <c r="AJ11" s="13">
        <v>6079</v>
      </c>
      <c r="AK11" s="13">
        <v>6482</v>
      </c>
      <c r="AL11" s="13">
        <v>5777</v>
      </c>
      <c r="AM11" s="13">
        <v>5840</v>
      </c>
      <c r="AN11" s="13">
        <v>6060</v>
      </c>
      <c r="AO11" s="13">
        <v>6057</v>
      </c>
      <c r="AP11" s="13">
        <v>6360</v>
      </c>
      <c r="AQ11" s="13">
        <v>5889</v>
      </c>
      <c r="AR11" s="13">
        <v>5930</v>
      </c>
      <c r="AS11" s="13">
        <v>6265</v>
      </c>
      <c r="AT11" s="13">
        <v>6132</v>
      </c>
      <c r="AU11" s="13">
        <v>6079</v>
      </c>
      <c r="AV11" s="13">
        <v>6656</v>
      </c>
      <c r="AW11" s="13">
        <v>6259</v>
      </c>
      <c r="AX11" s="13">
        <v>6621</v>
      </c>
      <c r="AY11" s="13">
        <v>5954</v>
      </c>
      <c r="AZ11" s="13">
        <v>6227</v>
      </c>
      <c r="BA11" s="13">
        <v>5280</v>
      </c>
      <c r="BB11" s="13">
        <v>6199</v>
      </c>
      <c r="BC11" s="42"/>
    </row>
    <row r="12" spans="1:55" x14ac:dyDescent="0.2">
      <c r="A12" s="12"/>
      <c r="B12" s="15" t="s">
        <v>187</v>
      </c>
      <c r="C12" s="13">
        <v>667</v>
      </c>
      <c r="D12" s="13">
        <v>714</v>
      </c>
      <c r="E12" s="13">
        <v>861</v>
      </c>
      <c r="F12" s="13">
        <v>1155</v>
      </c>
      <c r="G12" s="13">
        <v>787</v>
      </c>
      <c r="H12" s="13">
        <v>773</v>
      </c>
      <c r="I12" s="13">
        <v>1050</v>
      </c>
      <c r="J12" s="13">
        <v>932</v>
      </c>
      <c r="K12" s="13">
        <v>1027</v>
      </c>
      <c r="L12" s="13">
        <v>1288</v>
      </c>
      <c r="M12" s="13">
        <v>949</v>
      </c>
      <c r="N12" s="13">
        <v>1294</v>
      </c>
      <c r="O12" s="13">
        <v>1101</v>
      </c>
      <c r="P12" s="13">
        <v>1210</v>
      </c>
      <c r="Q12" s="13">
        <v>1019</v>
      </c>
      <c r="R12" s="13">
        <v>1297</v>
      </c>
      <c r="S12" s="13">
        <v>1308</v>
      </c>
      <c r="T12" s="13">
        <v>1332</v>
      </c>
      <c r="U12" s="13">
        <v>1192</v>
      </c>
      <c r="V12" s="13">
        <v>1204</v>
      </c>
      <c r="W12" s="13">
        <v>1025</v>
      </c>
      <c r="X12" s="13">
        <v>823</v>
      </c>
      <c r="Y12" s="13">
        <v>1002</v>
      </c>
      <c r="Z12" s="13">
        <v>786</v>
      </c>
      <c r="AA12" s="13">
        <v>638</v>
      </c>
      <c r="AB12" s="13">
        <v>1038</v>
      </c>
      <c r="AC12" s="13">
        <v>844</v>
      </c>
      <c r="AD12" s="13">
        <v>1043</v>
      </c>
      <c r="AE12" s="13">
        <v>957</v>
      </c>
      <c r="AF12" s="13">
        <v>1054</v>
      </c>
      <c r="AG12" s="13">
        <v>1141</v>
      </c>
      <c r="AH12" s="13">
        <v>906</v>
      </c>
      <c r="AI12" s="13">
        <v>1113</v>
      </c>
      <c r="AJ12" s="13">
        <v>1138</v>
      </c>
      <c r="AK12" s="13">
        <v>1000</v>
      </c>
      <c r="AL12" s="13">
        <v>889</v>
      </c>
      <c r="AM12" s="13">
        <v>1005</v>
      </c>
      <c r="AN12" s="13">
        <v>827</v>
      </c>
      <c r="AO12" s="13">
        <v>617</v>
      </c>
      <c r="AP12" s="13">
        <v>1133</v>
      </c>
      <c r="AQ12" s="13">
        <v>1060</v>
      </c>
      <c r="AR12" s="13">
        <v>1210</v>
      </c>
      <c r="AS12" s="13">
        <v>1311</v>
      </c>
      <c r="AT12" s="13">
        <v>1078</v>
      </c>
      <c r="AU12" s="13">
        <v>1381</v>
      </c>
      <c r="AV12" s="13">
        <v>663</v>
      </c>
      <c r="AW12" s="13">
        <v>1291</v>
      </c>
      <c r="AX12" s="13">
        <v>1289</v>
      </c>
      <c r="AY12" s="13">
        <v>1274</v>
      </c>
      <c r="AZ12" s="13">
        <v>1431</v>
      </c>
      <c r="BA12" s="13">
        <v>928</v>
      </c>
      <c r="BB12" s="13">
        <v>527</v>
      </c>
      <c r="BC12" s="42"/>
    </row>
    <row r="13" spans="1:55" x14ac:dyDescent="0.2">
      <c r="A13" s="12"/>
      <c r="B13" s="15"/>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c r="BC13" s="42"/>
    </row>
    <row r="14" spans="1:55" x14ac:dyDescent="0.2">
      <c r="A14" s="9" t="s">
        <v>188</v>
      </c>
      <c r="B14" s="17"/>
      <c r="C14" s="11">
        <v>14328</v>
      </c>
      <c r="D14" s="11">
        <v>14813</v>
      </c>
      <c r="E14" s="11">
        <v>13884</v>
      </c>
      <c r="F14" s="11">
        <v>15491</v>
      </c>
      <c r="G14" s="11">
        <v>15565</v>
      </c>
      <c r="H14" s="11">
        <v>14546</v>
      </c>
      <c r="I14" s="11">
        <v>15310</v>
      </c>
      <c r="J14" s="11">
        <v>13812</v>
      </c>
      <c r="K14" s="11">
        <v>14953</v>
      </c>
      <c r="L14" s="11">
        <v>14562</v>
      </c>
      <c r="M14" s="11">
        <v>15967</v>
      </c>
      <c r="N14" s="11">
        <v>17766</v>
      </c>
      <c r="O14" s="11">
        <v>18374</v>
      </c>
      <c r="P14" s="11">
        <v>16629</v>
      </c>
      <c r="Q14" s="11">
        <v>16199</v>
      </c>
      <c r="R14" s="11">
        <v>16364</v>
      </c>
      <c r="S14" s="11">
        <v>16363</v>
      </c>
      <c r="T14" s="11">
        <v>15803</v>
      </c>
      <c r="U14" s="11">
        <v>16211</v>
      </c>
      <c r="V14" s="11">
        <v>17646</v>
      </c>
      <c r="W14" s="11">
        <v>17475</v>
      </c>
      <c r="X14" s="11">
        <v>17082</v>
      </c>
      <c r="Y14" s="11">
        <v>17789</v>
      </c>
      <c r="Z14" s="11">
        <v>17216</v>
      </c>
      <c r="AA14" s="11">
        <v>16902</v>
      </c>
      <c r="AB14" s="11">
        <v>18254</v>
      </c>
      <c r="AC14" s="11">
        <v>17857</v>
      </c>
      <c r="AD14" s="11">
        <v>17233</v>
      </c>
      <c r="AE14" s="11">
        <v>16618</v>
      </c>
      <c r="AF14" s="11">
        <v>16126</v>
      </c>
      <c r="AG14" s="11">
        <v>18087</v>
      </c>
      <c r="AH14" s="11">
        <v>18802</v>
      </c>
      <c r="AI14" s="11">
        <v>18862</v>
      </c>
      <c r="AJ14" s="11">
        <v>18766</v>
      </c>
      <c r="AK14" s="11">
        <v>18319</v>
      </c>
      <c r="AL14" s="11">
        <v>17929</v>
      </c>
      <c r="AM14" s="11">
        <v>18083</v>
      </c>
      <c r="AN14" s="11">
        <v>18576</v>
      </c>
      <c r="AO14" s="11">
        <v>18999</v>
      </c>
      <c r="AP14" s="11">
        <v>17674</v>
      </c>
      <c r="AQ14" s="11">
        <v>18424</v>
      </c>
      <c r="AR14" s="11">
        <v>16790</v>
      </c>
      <c r="AS14" s="11">
        <v>14796</v>
      </c>
      <c r="AT14" s="11">
        <v>15718</v>
      </c>
      <c r="AU14" s="11">
        <v>16344</v>
      </c>
      <c r="AV14" s="11">
        <v>16819</v>
      </c>
      <c r="AW14" s="11">
        <v>17204</v>
      </c>
      <c r="AX14" s="11">
        <v>17199</v>
      </c>
      <c r="AY14" s="11">
        <v>16636</v>
      </c>
      <c r="AZ14" s="11">
        <v>15101</v>
      </c>
      <c r="BA14" s="11">
        <v>13327</v>
      </c>
      <c r="BB14" s="11">
        <v>13722</v>
      </c>
      <c r="BC14" s="42"/>
    </row>
    <row r="15" spans="1:55" x14ac:dyDescent="0.2">
      <c r="A15" s="12"/>
      <c r="B15" s="15" t="s">
        <v>189</v>
      </c>
      <c r="C15" s="13">
        <v>1546</v>
      </c>
      <c r="D15" s="13">
        <v>1741</v>
      </c>
      <c r="E15" s="13">
        <v>1923</v>
      </c>
      <c r="F15" s="13">
        <v>1982</v>
      </c>
      <c r="G15" s="13">
        <v>2059</v>
      </c>
      <c r="H15" s="13">
        <v>1720</v>
      </c>
      <c r="I15" s="13">
        <v>2010</v>
      </c>
      <c r="J15" s="13">
        <v>1464</v>
      </c>
      <c r="K15" s="13">
        <v>1734</v>
      </c>
      <c r="L15" s="13">
        <v>2428</v>
      </c>
      <c r="M15" s="13">
        <v>2302</v>
      </c>
      <c r="N15" s="13">
        <v>2406</v>
      </c>
      <c r="O15" s="13">
        <v>2606</v>
      </c>
      <c r="P15" s="13">
        <v>2308</v>
      </c>
      <c r="Q15" s="13">
        <v>2099</v>
      </c>
      <c r="R15" s="13">
        <v>2498</v>
      </c>
      <c r="S15" s="13">
        <v>2471</v>
      </c>
      <c r="T15" s="13">
        <v>2209</v>
      </c>
      <c r="U15" s="13">
        <v>2213</v>
      </c>
      <c r="V15" s="13">
        <v>2774</v>
      </c>
      <c r="W15" s="13">
        <v>2527</v>
      </c>
      <c r="X15" s="13">
        <v>3038</v>
      </c>
      <c r="Y15" s="13">
        <v>3069</v>
      </c>
      <c r="Z15" s="13">
        <v>3047</v>
      </c>
      <c r="AA15" s="13">
        <v>2989</v>
      </c>
      <c r="AB15" s="13">
        <v>3270</v>
      </c>
      <c r="AC15" s="13">
        <v>3271</v>
      </c>
      <c r="AD15" s="13">
        <v>2911</v>
      </c>
      <c r="AE15" s="13">
        <v>2593</v>
      </c>
      <c r="AF15" s="13">
        <v>2800</v>
      </c>
      <c r="AG15" s="13">
        <v>3149</v>
      </c>
      <c r="AH15" s="13">
        <v>3051</v>
      </c>
      <c r="AI15" s="13">
        <v>3767</v>
      </c>
      <c r="AJ15" s="13">
        <v>3118</v>
      </c>
      <c r="AK15" s="13">
        <v>3105</v>
      </c>
      <c r="AL15" s="13">
        <v>2580</v>
      </c>
      <c r="AM15" s="13">
        <v>2760</v>
      </c>
      <c r="AN15" s="13">
        <v>2873</v>
      </c>
      <c r="AO15" s="13">
        <v>2920</v>
      </c>
      <c r="AP15" s="13">
        <v>2349</v>
      </c>
      <c r="AQ15" s="13">
        <v>2205</v>
      </c>
      <c r="AR15" s="13">
        <v>3144</v>
      </c>
      <c r="AS15" s="13">
        <v>2777</v>
      </c>
      <c r="AT15" s="13">
        <v>2337</v>
      </c>
      <c r="AU15" s="13">
        <v>2204</v>
      </c>
      <c r="AV15" s="13">
        <v>2420</v>
      </c>
      <c r="AW15" s="13">
        <v>1945</v>
      </c>
      <c r="AX15" s="13">
        <v>1998</v>
      </c>
      <c r="AY15" s="13">
        <v>2266</v>
      </c>
      <c r="AZ15" s="13">
        <v>2258</v>
      </c>
      <c r="BA15" s="13">
        <v>1349</v>
      </c>
      <c r="BB15" s="13">
        <v>1750</v>
      </c>
      <c r="BC15" s="42"/>
    </row>
    <row r="16" spans="1:55" x14ac:dyDescent="0.2">
      <c r="A16" s="12"/>
      <c r="B16" s="15" t="s">
        <v>190</v>
      </c>
      <c r="C16" s="13">
        <v>1652</v>
      </c>
      <c r="D16" s="13">
        <v>1749</v>
      </c>
      <c r="E16" s="13">
        <v>1590</v>
      </c>
      <c r="F16" s="13">
        <v>1719</v>
      </c>
      <c r="G16" s="13">
        <v>1468</v>
      </c>
      <c r="H16" s="13">
        <v>1619</v>
      </c>
      <c r="I16" s="13">
        <v>1692</v>
      </c>
      <c r="J16" s="13">
        <v>1676</v>
      </c>
      <c r="K16" s="13">
        <v>1608</v>
      </c>
      <c r="L16" s="13">
        <v>1771</v>
      </c>
      <c r="M16" s="13">
        <v>1805</v>
      </c>
      <c r="N16" s="13">
        <v>1985</v>
      </c>
      <c r="O16" s="13">
        <v>2059</v>
      </c>
      <c r="P16" s="13">
        <v>1688</v>
      </c>
      <c r="Q16" s="13">
        <v>1824</v>
      </c>
      <c r="R16" s="13">
        <v>1654</v>
      </c>
      <c r="S16" s="13">
        <v>2114</v>
      </c>
      <c r="T16" s="13">
        <v>1924</v>
      </c>
      <c r="U16" s="13">
        <v>1921</v>
      </c>
      <c r="V16" s="13">
        <v>1985</v>
      </c>
      <c r="W16" s="13">
        <v>1869</v>
      </c>
      <c r="X16" s="13">
        <v>1730</v>
      </c>
      <c r="Y16" s="13">
        <v>1671</v>
      </c>
      <c r="Z16" s="13">
        <v>1760</v>
      </c>
      <c r="AA16" s="13">
        <v>1694</v>
      </c>
      <c r="AB16" s="13">
        <v>1687</v>
      </c>
      <c r="AC16" s="13">
        <v>1843</v>
      </c>
      <c r="AD16" s="13">
        <v>1677</v>
      </c>
      <c r="AE16" s="13">
        <v>1624</v>
      </c>
      <c r="AF16" s="13">
        <v>1771</v>
      </c>
      <c r="AG16" s="13">
        <v>1471</v>
      </c>
      <c r="AH16" s="13">
        <v>1728</v>
      </c>
      <c r="AI16" s="13">
        <v>1545</v>
      </c>
      <c r="AJ16" s="13">
        <v>1559</v>
      </c>
      <c r="AK16" s="13">
        <v>1728</v>
      </c>
      <c r="AL16" s="13">
        <v>1473</v>
      </c>
      <c r="AM16" s="13">
        <v>1507</v>
      </c>
      <c r="AN16" s="13">
        <v>1636</v>
      </c>
      <c r="AO16" s="13">
        <v>1638</v>
      </c>
      <c r="AP16" s="13">
        <v>1368</v>
      </c>
      <c r="AQ16" s="13">
        <v>1433</v>
      </c>
      <c r="AR16" s="13">
        <v>1457</v>
      </c>
      <c r="AS16" s="13">
        <v>1565</v>
      </c>
      <c r="AT16" s="13">
        <v>1620</v>
      </c>
      <c r="AU16" s="13">
        <v>1448</v>
      </c>
      <c r="AV16" s="13">
        <v>1578</v>
      </c>
      <c r="AW16" s="13">
        <v>1386</v>
      </c>
      <c r="AX16" s="13">
        <v>1742</v>
      </c>
      <c r="AY16" s="13">
        <v>1469</v>
      </c>
      <c r="AZ16" s="13">
        <v>1504</v>
      </c>
      <c r="BA16" s="13">
        <v>1419</v>
      </c>
      <c r="BB16" s="13">
        <v>1238</v>
      </c>
      <c r="BC16" s="42"/>
    </row>
    <row r="17" spans="1:54" x14ac:dyDescent="0.2">
      <c r="A17" s="12"/>
      <c r="B17" s="15" t="s">
        <v>191</v>
      </c>
      <c r="C17" s="13">
        <v>9901</v>
      </c>
      <c r="D17" s="13">
        <v>9803</v>
      </c>
      <c r="E17" s="13">
        <v>8938</v>
      </c>
      <c r="F17" s="13">
        <v>10193</v>
      </c>
      <c r="G17" s="13">
        <v>10555</v>
      </c>
      <c r="H17" s="13">
        <v>9620</v>
      </c>
      <c r="I17" s="13">
        <v>9953</v>
      </c>
      <c r="J17" s="13">
        <v>9082</v>
      </c>
      <c r="K17" s="13">
        <v>9926</v>
      </c>
      <c r="L17" s="13">
        <v>8578</v>
      </c>
      <c r="M17" s="13">
        <v>10064</v>
      </c>
      <c r="N17" s="13">
        <v>11575</v>
      </c>
      <c r="O17" s="13">
        <v>11701</v>
      </c>
      <c r="P17" s="13">
        <v>10776</v>
      </c>
      <c r="Q17" s="13">
        <v>10525</v>
      </c>
      <c r="R17" s="13">
        <v>10379</v>
      </c>
      <c r="S17" s="13">
        <v>9820</v>
      </c>
      <c r="T17" s="13">
        <v>9962</v>
      </c>
      <c r="U17" s="13">
        <v>10141</v>
      </c>
      <c r="V17" s="13">
        <v>10970</v>
      </c>
      <c r="W17" s="13">
        <v>11259</v>
      </c>
      <c r="X17" s="13">
        <v>10351</v>
      </c>
      <c r="Y17" s="13">
        <v>11186</v>
      </c>
      <c r="Z17" s="13">
        <v>10520</v>
      </c>
      <c r="AA17" s="13">
        <v>10334</v>
      </c>
      <c r="AB17" s="13">
        <v>11302</v>
      </c>
      <c r="AC17" s="13">
        <v>10892</v>
      </c>
      <c r="AD17" s="13">
        <v>10811</v>
      </c>
      <c r="AE17" s="13">
        <v>10491</v>
      </c>
      <c r="AF17" s="13">
        <v>9562</v>
      </c>
      <c r="AG17" s="13">
        <v>11756</v>
      </c>
      <c r="AH17" s="13">
        <v>12032</v>
      </c>
      <c r="AI17" s="13">
        <v>11677</v>
      </c>
      <c r="AJ17" s="13">
        <v>12123</v>
      </c>
      <c r="AK17" s="13">
        <v>11510</v>
      </c>
      <c r="AL17" s="13">
        <v>12130</v>
      </c>
      <c r="AM17" s="13">
        <v>11921</v>
      </c>
      <c r="AN17" s="13">
        <v>12274</v>
      </c>
      <c r="AO17" s="13">
        <v>12607</v>
      </c>
      <c r="AP17" s="13">
        <v>12238</v>
      </c>
      <c r="AQ17" s="13">
        <v>13079</v>
      </c>
      <c r="AR17" s="13">
        <v>10380</v>
      </c>
      <c r="AS17" s="13">
        <v>8654</v>
      </c>
      <c r="AT17" s="13">
        <v>10208</v>
      </c>
      <c r="AU17" s="13">
        <v>11022</v>
      </c>
      <c r="AV17" s="13">
        <v>10998</v>
      </c>
      <c r="AW17" s="13">
        <v>12044</v>
      </c>
      <c r="AX17" s="13">
        <v>11626</v>
      </c>
      <c r="AY17" s="13">
        <v>11062</v>
      </c>
      <c r="AZ17" s="13">
        <v>9716</v>
      </c>
      <c r="BA17" s="13">
        <v>9130</v>
      </c>
      <c r="BB17" s="13">
        <v>9571</v>
      </c>
    </row>
    <row r="18" spans="1:54" x14ac:dyDescent="0.2">
      <c r="A18" s="12"/>
      <c r="B18" s="15" t="s">
        <v>192</v>
      </c>
      <c r="C18" s="13">
        <v>639</v>
      </c>
      <c r="D18" s="13">
        <v>701</v>
      </c>
      <c r="E18" s="13">
        <v>742</v>
      </c>
      <c r="F18" s="13">
        <v>704</v>
      </c>
      <c r="G18" s="13">
        <v>836</v>
      </c>
      <c r="H18" s="13">
        <v>843</v>
      </c>
      <c r="I18" s="13">
        <v>808</v>
      </c>
      <c r="J18" s="13">
        <v>818</v>
      </c>
      <c r="K18" s="13">
        <v>829</v>
      </c>
      <c r="L18" s="13">
        <v>870</v>
      </c>
      <c r="M18" s="13">
        <v>846</v>
      </c>
      <c r="N18" s="13">
        <v>939</v>
      </c>
      <c r="O18" s="13">
        <v>919</v>
      </c>
      <c r="P18" s="13">
        <v>885</v>
      </c>
      <c r="Q18" s="13">
        <v>830</v>
      </c>
      <c r="R18" s="13">
        <v>778</v>
      </c>
      <c r="S18" s="13">
        <v>870</v>
      </c>
      <c r="T18" s="13">
        <v>826</v>
      </c>
      <c r="U18" s="13">
        <v>874</v>
      </c>
      <c r="V18" s="13">
        <v>824</v>
      </c>
      <c r="W18" s="13">
        <v>861</v>
      </c>
      <c r="X18" s="13">
        <v>984</v>
      </c>
      <c r="Y18" s="13">
        <v>965</v>
      </c>
      <c r="Z18" s="13">
        <v>918</v>
      </c>
      <c r="AA18" s="13">
        <v>935</v>
      </c>
      <c r="AB18" s="13">
        <v>1037</v>
      </c>
      <c r="AC18" s="13">
        <v>928</v>
      </c>
      <c r="AD18" s="13">
        <v>801</v>
      </c>
      <c r="AE18" s="13">
        <v>875</v>
      </c>
      <c r="AF18" s="13">
        <v>951</v>
      </c>
      <c r="AG18" s="13">
        <v>875</v>
      </c>
      <c r="AH18" s="13">
        <v>955</v>
      </c>
      <c r="AI18" s="13">
        <v>882</v>
      </c>
      <c r="AJ18" s="13">
        <v>1042</v>
      </c>
      <c r="AK18" s="13">
        <v>1029</v>
      </c>
      <c r="AL18" s="13">
        <v>900</v>
      </c>
      <c r="AM18" s="13">
        <v>943</v>
      </c>
      <c r="AN18" s="13">
        <v>918</v>
      </c>
      <c r="AO18" s="13">
        <v>1001</v>
      </c>
      <c r="AP18" s="13">
        <v>987</v>
      </c>
      <c r="AQ18" s="13">
        <v>1058</v>
      </c>
      <c r="AR18" s="13">
        <v>960</v>
      </c>
      <c r="AS18" s="13">
        <v>935</v>
      </c>
      <c r="AT18" s="13">
        <v>899</v>
      </c>
      <c r="AU18" s="13">
        <v>857</v>
      </c>
      <c r="AV18" s="13">
        <v>868</v>
      </c>
      <c r="AW18" s="13">
        <v>887</v>
      </c>
      <c r="AX18" s="13">
        <v>846</v>
      </c>
      <c r="AY18" s="13">
        <v>935</v>
      </c>
      <c r="AZ18" s="13">
        <v>639</v>
      </c>
      <c r="BA18" s="13">
        <v>594</v>
      </c>
      <c r="BB18" s="13">
        <v>546</v>
      </c>
    </row>
    <row r="19" spans="1:54" x14ac:dyDescent="0.2">
      <c r="A19" s="12"/>
      <c r="B19" s="15" t="s">
        <v>193</v>
      </c>
      <c r="C19" s="13">
        <v>365</v>
      </c>
      <c r="D19" s="13">
        <v>463</v>
      </c>
      <c r="E19" s="13">
        <v>464</v>
      </c>
      <c r="F19" s="13">
        <v>564</v>
      </c>
      <c r="G19" s="13">
        <v>393</v>
      </c>
      <c r="H19" s="13">
        <v>439</v>
      </c>
      <c r="I19" s="13">
        <v>481</v>
      </c>
      <c r="J19" s="13">
        <v>486</v>
      </c>
      <c r="K19" s="13">
        <v>534</v>
      </c>
      <c r="L19" s="13">
        <v>529</v>
      </c>
      <c r="M19" s="13">
        <v>632</v>
      </c>
      <c r="N19" s="13">
        <v>567</v>
      </c>
      <c r="O19" s="13">
        <v>689</v>
      </c>
      <c r="P19" s="13">
        <v>570</v>
      </c>
      <c r="Q19" s="13">
        <v>584</v>
      </c>
      <c r="R19" s="13">
        <v>718</v>
      </c>
      <c r="S19" s="13">
        <v>814</v>
      </c>
      <c r="T19" s="13">
        <v>564</v>
      </c>
      <c r="U19" s="13">
        <v>664</v>
      </c>
      <c r="V19" s="13">
        <v>772</v>
      </c>
      <c r="W19" s="13">
        <v>568</v>
      </c>
      <c r="X19" s="13">
        <v>630</v>
      </c>
      <c r="Y19" s="13">
        <v>603</v>
      </c>
      <c r="Z19" s="13">
        <v>655</v>
      </c>
      <c r="AA19" s="13">
        <v>577</v>
      </c>
      <c r="AB19" s="13">
        <v>598</v>
      </c>
      <c r="AC19" s="13">
        <v>536</v>
      </c>
      <c r="AD19" s="13">
        <v>643</v>
      </c>
      <c r="AE19" s="13">
        <v>652</v>
      </c>
      <c r="AF19" s="13">
        <v>685</v>
      </c>
      <c r="AG19" s="13">
        <v>437</v>
      </c>
      <c r="AH19" s="13">
        <v>612</v>
      </c>
      <c r="AI19" s="13">
        <v>595</v>
      </c>
      <c r="AJ19" s="13">
        <v>550</v>
      </c>
      <c r="AK19" s="13">
        <v>574</v>
      </c>
      <c r="AL19" s="13">
        <v>479</v>
      </c>
      <c r="AM19" s="13">
        <v>568</v>
      </c>
      <c r="AN19" s="13">
        <v>603</v>
      </c>
      <c r="AO19" s="13">
        <v>554</v>
      </c>
      <c r="AP19" s="13">
        <v>455</v>
      </c>
      <c r="AQ19" s="13">
        <v>439</v>
      </c>
      <c r="AR19" s="13">
        <v>566</v>
      </c>
      <c r="AS19" s="13">
        <v>685</v>
      </c>
      <c r="AT19" s="13">
        <v>493</v>
      </c>
      <c r="AU19" s="13">
        <v>553</v>
      </c>
      <c r="AV19" s="13">
        <v>596</v>
      </c>
      <c r="AW19" s="13">
        <v>527</v>
      </c>
      <c r="AX19" s="13">
        <v>609</v>
      </c>
      <c r="AY19" s="13">
        <v>523</v>
      </c>
      <c r="AZ19" s="13">
        <v>650</v>
      </c>
      <c r="BA19" s="13">
        <v>545</v>
      </c>
      <c r="BB19" s="13">
        <v>352</v>
      </c>
    </row>
    <row r="20" spans="1:54" x14ac:dyDescent="0.2">
      <c r="A20" s="42"/>
      <c r="B20" s="12" t="s">
        <v>194</v>
      </c>
      <c r="C20" s="13">
        <v>225</v>
      </c>
      <c r="D20" s="13">
        <v>356</v>
      </c>
      <c r="E20" s="13">
        <v>227</v>
      </c>
      <c r="F20" s="13">
        <v>329</v>
      </c>
      <c r="G20" s="13">
        <v>254</v>
      </c>
      <c r="H20" s="13">
        <v>305</v>
      </c>
      <c r="I20" s="13">
        <v>366</v>
      </c>
      <c r="J20" s="13">
        <v>286</v>
      </c>
      <c r="K20" s="13">
        <v>322</v>
      </c>
      <c r="L20" s="13">
        <v>386</v>
      </c>
      <c r="M20" s="13">
        <v>318</v>
      </c>
      <c r="N20" s="13">
        <v>294</v>
      </c>
      <c r="O20" s="13">
        <v>400</v>
      </c>
      <c r="P20" s="13">
        <v>402</v>
      </c>
      <c r="Q20" s="13">
        <v>337</v>
      </c>
      <c r="R20" s="13">
        <v>337</v>
      </c>
      <c r="S20" s="13">
        <v>274</v>
      </c>
      <c r="T20" s="13">
        <v>318</v>
      </c>
      <c r="U20" s="13">
        <v>398</v>
      </c>
      <c r="V20" s="13">
        <v>321</v>
      </c>
      <c r="W20" s="13">
        <v>391</v>
      </c>
      <c r="X20" s="13">
        <v>349</v>
      </c>
      <c r="Y20" s="13">
        <v>295</v>
      </c>
      <c r="Z20" s="13">
        <v>316</v>
      </c>
      <c r="AA20" s="13">
        <v>373</v>
      </c>
      <c r="AB20" s="13">
        <v>360</v>
      </c>
      <c r="AC20" s="13">
        <v>387</v>
      </c>
      <c r="AD20" s="13">
        <v>390</v>
      </c>
      <c r="AE20" s="13">
        <v>383</v>
      </c>
      <c r="AF20" s="13">
        <v>357</v>
      </c>
      <c r="AG20" s="13">
        <v>399</v>
      </c>
      <c r="AH20" s="13">
        <v>424</v>
      </c>
      <c r="AI20" s="13">
        <v>396</v>
      </c>
      <c r="AJ20" s="13">
        <v>374</v>
      </c>
      <c r="AK20" s="13">
        <v>373</v>
      </c>
      <c r="AL20" s="13">
        <v>367</v>
      </c>
      <c r="AM20" s="13">
        <v>384</v>
      </c>
      <c r="AN20" s="13">
        <v>272</v>
      </c>
      <c r="AO20" s="13">
        <v>279</v>
      </c>
      <c r="AP20" s="13">
        <v>277</v>
      </c>
      <c r="AQ20" s="13">
        <v>210</v>
      </c>
      <c r="AR20" s="13">
        <v>283</v>
      </c>
      <c r="AS20" s="13">
        <v>180</v>
      </c>
      <c r="AT20" s="13">
        <v>161</v>
      </c>
      <c r="AU20" s="13">
        <v>260</v>
      </c>
      <c r="AV20" s="13">
        <v>359</v>
      </c>
      <c r="AW20" s="13">
        <v>415</v>
      </c>
      <c r="AX20" s="13">
        <v>378</v>
      </c>
      <c r="AY20" s="13">
        <v>381</v>
      </c>
      <c r="AZ20" s="13">
        <v>334</v>
      </c>
      <c r="BA20" s="13">
        <v>290</v>
      </c>
      <c r="BB20" s="13">
        <v>265</v>
      </c>
    </row>
    <row r="22" spans="1:54" x14ac:dyDescent="0.2">
      <c r="A22" s="9" t="s">
        <v>195</v>
      </c>
      <c r="B22" s="42"/>
      <c r="C22" s="5">
        <v>1665</v>
      </c>
      <c r="D22" s="5">
        <v>1825</v>
      </c>
      <c r="E22" s="5">
        <v>1768</v>
      </c>
      <c r="F22" s="5">
        <v>1695</v>
      </c>
      <c r="G22" s="5">
        <v>2126</v>
      </c>
      <c r="H22" s="5">
        <v>1897</v>
      </c>
      <c r="I22" s="5">
        <v>1837</v>
      </c>
      <c r="J22" s="5">
        <v>1943</v>
      </c>
      <c r="K22" s="5">
        <v>1554</v>
      </c>
      <c r="L22" s="5">
        <v>1409</v>
      </c>
      <c r="M22" s="5">
        <v>1857</v>
      </c>
      <c r="N22" s="5">
        <v>2235</v>
      </c>
      <c r="O22" s="5">
        <v>2079</v>
      </c>
      <c r="P22" s="5">
        <v>1751</v>
      </c>
      <c r="Q22" s="5">
        <v>1652</v>
      </c>
      <c r="R22" s="5">
        <v>1825</v>
      </c>
      <c r="S22" s="5">
        <v>1784</v>
      </c>
      <c r="T22" s="5">
        <v>1838</v>
      </c>
      <c r="U22" s="5">
        <v>1779</v>
      </c>
      <c r="V22" s="5">
        <v>1736</v>
      </c>
      <c r="W22" s="5">
        <v>1804</v>
      </c>
      <c r="X22" s="5">
        <v>1733</v>
      </c>
      <c r="Y22" s="5">
        <v>1794</v>
      </c>
      <c r="Z22" s="5">
        <v>1899</v>
      </c>
      <c r="AA22" s="5">
        <v>1850</v>
      </c>
      <c r="AB22" s="5">
        <v>1821</v>
      </c>
      <c r="AC22" s="5">
        <v>2153</v>
      </c>
      <c r="AD22" s="5">
        <v>1805</v>
      </c>
      <c r="AE22" s="5">
        <v>2005</v>
      </c>
      <c r="AF22" s="5">
        <v>1804</v>
      </c>
      <c r="AG22" s="5">
        <v>1707</v>
      </c>
      <c r="AH22" s="5">
        <v>1598</v>
      </c>
      <c r="AI22" s="5">
        <v>1906</v>
      </c>
      <c r="AJ22" s="5">
        <v>1977</v>
      </c>
      <c r="AK22" s="5">
        <v>1820</v>
      </c>
      <c r="AL22" s="5">
        <v>1797</v>
      </c>
      <c r="AM22" s="5">
        <v>1546</v>
      </c>
      <c r="AN22" s="5">
        <v>1984</v>
      </c>
      <c r="AO22" s="5">
        <v>1946</v>
      </c>
      <c r="AP22" s="5">
        <v>2354</v>
      </c>
      <c r="AQ22" s="5">
        <v>2065</v>
      </c>
      <c r="AR22" s="5">
        <v>2350</v>
      </c>
      <c r="AS22" s="5">
        <v>2062</v>
      </c>
      <c r="AT22" s="5">
        <v>1834</v>
      </c>
      <c r="AU22" s="5">
        <v>2108</v>
      </c>
      <c r="AV22" s="5">
        <v>2320</v>
      </c>
      <c r="AW22" s="5">
        <v>2329</v>
      </c>
      <c r="AX22" s="5">
        <v>2224</v>
      </c>
      <c r="AY22" s="5">
        <v>2098</v>
      </c>
      <c r="AZ22" s="5">
        <v>2035</v>
      </c>
      <c r="BA22" s="5">
        <v>1610</v>
      </c>
      <c r="BB22" s="5">
        <v>1672</v>
      </c>
    </row>
    <row r="23" spans="1:54" x14ac:dyDescent="0.2">
      <c r="A23" s="12"/>
      <c r="B23" s="15"/>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row>
    <row r="24" spans="1:54" x14ac:dyDescent="0.2">
      <c r="A24" s="9" t="s">
        <v>196</v>
      </c>
      <c r="B24" s="42"/>
      <c r="C24" s="5">
        <v>3148</v>
      </c>
      <c r="D24" s="5">
        <v>3926</v>
      </c>
      <c r="E24" s="5">
        <v>3447</v>
      </c>
      <c r="F24" s="5">
        <v>3329</v>
      </c>
      <c r="G24" s="5">
        <v>2930</v>
      </c>
      <c r="H24" s="5">
        <v>3857</v>
      </c>
      <c r="I24" s="5">
        <v>3467</v>
      </c>
      <c r="J24" s="5">
        <v>3647</v>
      </c>
      <c r="K24" s="5">
        <v>3908</v>
      </c>
      <c r="L24" s="5">
        <v>4421</v>
      </c>
      <c r="M24" s="5">
        <v>4302</v>
      </c>
      <c r="N24" s="5">
        <v>4357</v>
      </c>
      <c r="O24" s="5">
        <v>3959</v>
      </c>
      <c r="P24" s="5">
        <v>4208</v>
      </c>
      <c r="Q24" s="5">
        <v>4401</v>
      </c>
      <c r="R24" s="5">
        <v>4529</v>
      </c>
      <c r="S24" s="5">
        <v>4555</v>
      </c>
      <c r="T24" s="5">
        <v>4381</v>
      </c>
      <c r="U24" s="5">
        <v>4092</v>
      </c>
      <c r="V24" s="5">
        <v>4045</v>
      </c>
      <c r="W24" s="5">
        <v>4311</v>
      </c>
      <c r="X24" s="5">
        <v>3862</v>
      </c>
      <c r="Y24" s="5">
        <v>4250</v>
      </c>
      <c r="Z24" s="5">
        <v>4145</v>
      </c>
      <c r="AA24" s="5">
        <v>4116</v>
      </c>
      <c r="AB24" s="5">
        <v>4272</v>
      </c>
      <c r="AC24" s="5">
        <v>2893</v>
      </c>
      <c r="AD24" s="5">
        <v>3799</v>
      </c>
      <c r="AE24" s="5">
        <v>3834</v>
      </c>
      <c r="AF24" s="5">
        <v>3983</v>
      </c>
      <c r="AG24" s="5">
        <v>3962</v>
      </c>
      <c r="AH24" s="5">
        <v>3932</v>
      </c>
      <c r="AI24" s="5">
        <v>3903</v>
      </c>
      <c r="AJ24" s="5">
        <v>4085</v>
      </c>
      <c r="AK24" s="5">
        <v>4243</v>
      </c>
      <c r="AL24" s="5">
        <v>3889</v>
      </c>
      <c r="AM24" s="5">
        <v>3810</v>
      </c>
      <c r="AN24" s="5">
        <v>4074</v>
      </c>
      <c r="AO24" s="5">
        <v>4449</v>
      </c>
      <c r="AP24" s="5">
        <v>4012</v>
      </c>
      <c r="AQ24" s="5">
        <v>4119</v>
      </c>
      <c r="AR24" s="5">
        <v>3996</v>
      </c>
      <c r="AS24" s="5">
        <v>4620</v>
      </c>
      <c r="AT24" s="5">
        <v>4419</v>
      </c>
      <c r="AU24" s="5">
        <v>4057</v>
      </c>
      <c r="AV24" s="5">
        <v>4266</v>
      </c>
      <c r="AW24" s="5">
        <v>3729</v>
      </c>
      <c r="AX24" s="5">
        <v>4576</v>
      </c>
      <c r="AY24" s="5">
        <v>4287</v>
      </c>
      <c r="AZ24" s="5">
        <v>4290</v>
      </c>
      <c r="BA24" s="5">
        <v>3620</v>
      </c>
      <c r="BB24" s="5">
        <v>2790</v>
      </c>
    </row>
    <row r="25" spans="1:54" x14ac:dyDescent="0.2">
      <c r="A25" s="12"/>
      <c r="B25" s="15"/>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row>
    <row r="26" spans="1:54" x14ac:dyDescent="0.2">
      <c r="A26" s="18" t="s">
        <v>197</v>
      </c>
      <c r="B26" s="19"/>
      <c r="C26" s="20">
        <v>38114</v>
      </c>
      <c r="D26" s="20">
        <v>42485</v>
      </c>
      <c r="E26" s="20">
        <v>39925</v>
      </c>
      <c r="F26" s="20">
        <v>42188</v>
      </c>
      <c r="G26" s="20">
        <v>41021</v>
      </c>
      <c r="H26" s="20">
        <v>42026</v>
      </c>
      <c r="I26" s="20">
        <v>42327</v>
      </c>
      <c r="J26" s="20">
        <v>40433</v>
      </c>
      <c r="K26" s="20">
        <v>42854</v>
      </c>
      <c r="L26" s="20">
        <v>42425</v>
      </c>
      <c r="M26" s="20">
        <v>45147</v>
      </c>
      <c r="N26" s="20">
        <v>48868</v>
      </c>
      <c r="O26" s="20">
        <v>47433</v>
      </c>
      <c r="P26" s="20">
        <v>45432</v>
      </c>
      <c r="Q26" s="20">
        <v>44675</v>
      </c>
      <c r="R26" s="20">
        <v>44664</v>
      </c>
      <c r="S26" s="20">
        <v>45686</v>
      </c>
      <c r="T26" s="20">
        <v>44200</v>
      </c>
      <c r="U26" s="20">
        <v>44063</v>
      </c>
      <c r="V26" s="20">
        <v>46251</v>
      </c>
      <c r="W26" s="20">
        <v>46829</v>
      </c>
      <c r="X26" s="20">
        <v>44218</v>
      </c>
      <c r="Y26" s="20">
        <v>46297</v>
      </c>
      <c r="Z26" s="20">
        <v>45263</v>
      </c>
      <c r="AA26" s="20">
        <v>45086</v>
      </c>
      <c r="AB26" s="20">
        <v>45732</v>
      </c>
      <c r="AC26" s="20">
        <v>44233</v>
      </c>
      <c r="AD26" s="20">
        <v>45163</v>
      </c>
      <c r="AE26" s="20">
        <v>43991</v>
      </c>
      <c r="AF26" s="20">
        <v>43609</v>
      </c>
      <c r="AG26" s="20">
        <v>45079</v>
      </c>
      <c r="AH26" s="20">
        <v>45967</v>
      </c>
      <c r="AI26" s="20">
        <v>46499</v>
      </c>
      <c r="AJ26" s="20">
        <v>46210</v>
      </c>
      <c r="AK26" s="20">
        <v>45965</v>
      </c>
      <c r="AL26" s="20">
        <v>44140</v>
      </c>
      <c r="AM26" s="20">
        <v>44621</v>
      </c>
      <c r="AN26" s="20">
        <v>45819</v>
      </c>
      <c r="AO26" s="20">
        <v>46066</v>
      </c>
      <c r="AP26" s="20">
        <v>45799</v>
      </c>
      <c r="AQ26" s="20">
        <v>45559</v>
      </c>
      <c r="AR26" s="20">
        <v>44311</v>
      </c>
      <c r="AS26" s="20">
        <v>43348</v>
      </c>
      <c r="AT26" s="20">
        <v>43236</v>
      </c>
      <c r="AU26" s="20">
        <v>44207</v>
      </c>
      <c r="AV26" s="20">
        <v>44442</v>
      </c>
      <c r="AW26" s="20">
        <v>44574</v>
      </c>
      <c r="AX26" s="20">
        <v>45810</v>
      </c>
      <c r="AY26" s="20">
        <v>44036</v>
      </c>
      <c r="AZ26" s="20">
        <v>42399</v>
      </c>
      <c r="BA26" s="20">
        <v>36060</v>
      </c>
      <c r="BB26" s="20">
        <v>35861</v>
      </c>
    </row>
    <row r="27" spans="1:54" x14ac:dyDescent="0.2">
      <c r="A27" s="12"/>
      <c r="B27" s="15"/>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row>
    <row r="28" spans="1:54" x14ac:dyDescent="0.2">
      <c r="A28" s="9" t="s">
        <v>198</v>
      </c>
      <c r="B28" s="12"/>
      <c r="C28" s="11">
        <v>6246</v>
      </c>
      <c r="D28" s="11">
        <v>7422</v>
      </c>
      <c r="E28" s="11">
        <v>8777</v>
      </c>
      <c r="F28" s="11">
        <v>9621</v>
      </c>
      <c r="G28" s="11">
        <v>10264</v>
      </c>
      <c r="H28" s="11">
        <v>10037</v>
      </c>
      <c r="I28" s="11">
        <v>9396</v>
      </c>
      <c r="J28" s="11">
        <v>8960</v>
      </c>
      <c r="K28" s="11">
        <v>9698</v>
      </c>
      <c r="L28" s="11">
        <v>9904</v>
      </c>
      <c r="M28" s="11">
        <v>10354</v>
      </c>
      <c r="N28" s="11">
        <v>9441</v>
      </c>
      <c r="O28" s="11">
        <v>10284</v>
      </c>
      <c r="P28" s="11">
        <v>10306</v>
      </c>
      <c r="Q28" s="11">
        <v>10938</v>
      </c>
      <c r="R28" s="11">
        <v>10721</v>
      </c>
      <c r="S28" s="11">
        <v>10683</v>
      </c>
      <c r="T28" s="11">
        <v>10625</v>
      </c>
      <c r="U28" s="11">
        <v>10849</v>
      </c>
      <c r="V28" s="11">
        <v>9069</v>
      </c>
      <c r="W28" s="11">
        <v>9572</v>
      </c>
      <c r="X28" s="11">
        <v>8328</v>
      </c>
      <c r="Y28" s="11">
        <v>8691</v>
      </c>
      <c r="Z28" s="11">
        <v>9951</v>
      </c>
      <c r="AA28" s="11">
        <v>8587</v>
      </c>
      <c r="AB28" s="11">
        <v>10386</v>
      </c>
      <c r="AC28" s="11">
        <v>8463</v>
      </c>
      <c r="AD28" s="11">
        <v>9821</v>
      </c>
      <c r="AE28" s="11">
        <v>9349</v>
      </c>
      <c r="AF28" s="11">
        <v>10676</v>
      </c>
      <c r="AG28" s="11">
        <v>10171</v>
      </c>
      <c r="AH28" s="11">
        <v>9990</v>
      </c>
      <c r="AI28" s="11">
        <v>11369</v>
      </c>
      <c r="AJ28" s="11">
        <v>11251</v>
      </c>
      <c r="AK28" s="11">
        <v>9697</v>
      </c>
      <c r="AL28" s="11">
        <v>10280</v>
      </c>
      <c r="AM28" s="11">
        <v>10939</v>
      </c>
      <c r="AN28" s="11">
        <v>7380</v>
      </c>
      <c r="AO28" s="11">
        <v>9423</v>
      </c>
      <c r="AP28" s="11">
        <v>9255</v>
      </c>
      <c r="AQ28" s="11">
        <v>10327</v>
      </c>
      <c r="AR28" s="11">
        <v>11430</v>
      </c>
      <c r="AS28" s="11">
        <v>10836</v>
      </c>
      <c r="AT28" s="11">
        <v>11120</v>
      </c>
      <c r="AU28" s="11">
        <v>9384</v>
      </c>
      <c r="AV28" s="11">
        <v>9994</v>
      </c>
      <c r="AW28" s="11">
        <v>11055</v>
      </c>
      <c r="AX28" s="11">
        <v>9128</v>
      </c>
      <c r="AY28" s="11">
        <v>11071</v>
      </c>
      <c r="AZ28" s="11">
        <v>9087</v>
      </c>
      <c r="BA28" s="11">
        <v>5529</v>
      </c>
      <c r="BB28" s="11">
        <v>5991</v>
      </c>
    </row>
    <row r="29" spans="1:54" x14ac:dyDescent="0.2">
      <c r="A29" s="12"/>
      <c r="B29" s="12" t="s">
        <v>198</v>
      </c>
      <c r="C29" s="13">
        <v>5449</v>
      </c>
      <c r="D29" s="13">
        <v>6474</v>
      </c>
      <c r="E29" s="13">
        <v>7470</v>
      </c>
      <c r="F29" s="13">
        <v>8506</v>
      </c>
      <c r="G29" s="13">
        <v>8998</v>
      </c>
      <c r="H29" s="13">
        <v>8751</v>
      </c>
      <c r="I29" s="13">
        <v>8597</v>
      </c>
      <c r="J29" s="13">
        <v>7853</v>
      </c>
      <c r="K29" s="13">
        <v>8611</v>
      </c>
      <c r="L29" s="13">
        <v>8838</v>
      </c>
      <c r="M29" s="13">
        <v>9425</v>
      </c>
      <c r="N29" s="13">
        <v>8102</v>
      </c>
      <c r="O29" s="13">
        <v>9072</v>
      </c>
      <c r="P29" s="13">
        <v>8699</v>
      </c>
      <c r="Q29" s="13">
        <v>9544</v>
      </c>
      <c r="R29" s="13">
        <v>9579</v>
      </c>
      <c r="S29" s="13">
        <v>9424</v>
      </c>
      <c r="T29" s="13">
        <v>9766</v>
      </c>
      <c r="U29" s="13">
        <v>9545</v>
      </c>
      <c r="V29" s="13">
        <v>8037</v>
      </c>
      <c r="W29" s="13">
        <v>8311</v>
      </c>
      <c r="X29" s="13">
        <v>6989</v>
      </c>
      <c r="Y29" s="13">
        <v>7049</v>
      </c>
      <c r="Z29" s="13">
        <v>8570</v>
      </c>
      <c r="AA29" s="13">
        <v>7561</v>
      </c>
      <c r="AB29" s="13">
        <v>8823</v>
      </c>
      <c r="AC29" s="13">
        <v>7055</v>
      </c>
      <c r="AD29" s="13">
        <v>8886</v>
      </c>
      <c r="AE29" s="13">
        <v>8312</v>
      </c>
      <c r="AF29" s="13">
        <v>8974</v>
      </c>
      <c r="AG29" s="13">
        <v>8790</v>
      </c>
      <c r="AH29" s="13">
        <v>8612</v>
      </c>
      <c r="AI29" s="13">
        <v>10139</v>
      </c>
      <c r="AJ29" s="13">
        <v>9470</v>
      </c>
      <c r="AK29" s="13">
        <v>8459</v>
      </c>
      <c r="AL29" s="13">
        <v>8851</v>
      </c>
      <c r="AM29" s="13">
        <v>9125</v>
      </c>
      <c r="AN29" s="13">
        <v>6300</v>
      </c>
      <c r="AO29" s="13">
        <v>8145</v>
      </c>
      <c r="AP29" s="13">
        <v>8168</v>
      </c>
      <c r="AQ29" s="13">
        <v>8740</v>
      </c>
      <c r="AR29" s="13">
        <v>9255</v>
      </c>
      <c r="AS29" s="13">
        <v>9238</v>
      </c>
      <c r="AT29" s="13">
        <v>9627</v>
      </c>
      <c r="AU29" s="13">
        <v>8267</v>
      </c>
      <c r="AV29" s="13">
        <v>8654</v>
      </c>
      <c r="AW29" s="13">
        <v>9356</v>
      </c>
      <c r="AX29" s="13">
        <v>7980</v>
      </c>
      <c r="AY29" s="13">
        <v>9896</v>
      </c>
      <c r="AZ29" s="13">
        <v>7563</v>
      </c>
      <c r="BA29" s="13">
        <v>4182</v>
      </c>
      <c r="BB29" s="13">
        <v>5058</v>
      </c>
    </row>
    <row r="30" spans="1:54" x14ac:dyDescent="0.2">
      <c r="A30" s="12"/>
      <c r="B30" s="15" t="s">
        <v>199</v>
      </c>
      <c r="C30" s="13">
        <v>797</v>
      </c>
      <c r="D30" s="13">
        <v>948</v>
      </c>
      <c r="E30" s="13">
        <v>1307</v>
      </c>
      <c r="F30" s="13">
        <v>1115</v>
      </c>
      <c r="G30" s="13">
        <v>1266</v>
      </c>
      <c r="H30" s="13">
        <v>1286</v>
      </c>
      <c r="I30" s="13">
        <v>799</v>
      </c>
      <c r="J30" s="13">
        <v>1107</v>
      </c>
      <c r="K30" s="13">
        <v>1087</v>
      </c>
      <c r="L30" s="13">
        <v>1066</v>
      </c>
      <c r="M30" s="13">
        <v>929</v>
      </c>
      <c r="N30" s="13">
        <v>1339</v>
      </c>
      <c r="O30" s="13">
        <v>1212</v>
      </c>
      <c r="P30" s="13">
        <v>1607</v>
      </c>
      <c r="Q30" s="13">
        <v>1394</v>
      </c>
      <c r="R30" s="13">
        <v>1142</v>
      </c>
      <c r="S30" s="13">
        <v>1259</v>
      </c>
      <c r="T30" s="13">
        <v>859</v>
      </c>
      <c r="U30" s="13">
        <v>1304</v>
      </c>
      <c r="V30" s="13">
        <v>1032</v>
      </c>
      <c r="W30" s="13">
        <v>1261</v>
      </c>
      <c r="X30" s="13">
        <v>1339</v>
      </c>
      <c r="Y30" s="13">
        <v>1642</v>
      </c>
      <c r="Z30" s="13">
        <v>1381</v>
      </c>
      <c r="AA30" s="13">
        <v>1026</v>
      </c>
      <c r="AB30" s="13">
        <v>1563</v>
      </c>
      <c r="AC30" s="13">
        <v>1408</v>
      </c>
      <c r="AD30" s="13">
        <v>935</v>
      </c>
      <c r="AE30" s="13">
        <v>1037</v>
      </c>
      <c r="AF30" s="13">
        <v>1702</v>
      </c>
      <c r="AG30" s="13">
        <v>1381</v>
      </c>
      <c r="AH30" s="13">
        <v>1378</v>
      </c>
      <c r="AI30" s="13">
        <v>1230</v>
      </c>
      <c r="AJ30" s="13">
        <v>1781</v>
      </c>
      <c r="AK30" s="13">
        <v>1238</v>
      </c>
      <c r="AL30" s="13">
        <v>1429</v>
      </c>
      <c r="AM30" s="13">
        <v>1814</v>
      </c>
      <c r="AN30" s="13">
        <v>1080</v>
      </c>
      <c r="AO30" s="13">
        <v>1278</v>
      </c>
      <c r="AP30" s="13">
        <v>1087</v>
      </c>
      <c r="AQ30" s="13">
        <v>1587</v>
      </c>
      <c r="AR30" s="13">
        <v>2175</v>
      </c>
      <c r="AS30" s="13">
        <v>1598</v>
      </c>
      <c r="AT30" s="13">
        <v>1493</v>
      </c>
      <c r="AU30" s="13">
        <v>1117</v>
      </c>
      <c r="AV30" s="13">
        <v>1340</v>
      </c>
      <c r="AW30" s="13">
        <v>1699</v>
      </c>
      <c r="AX30" s="13">
        <v>1148</v>
      </c>
      <c r="AY30" s="13">
        <v>1175</v>
      </c>
      <c r="AZ30" s="13">
        <v>1524</v>
      </c>
      <c r="BA30" s="13">
        <v>1347</v>
      </c>
      <c r="BB30" s="13">
        <v>933</v>
      </c>
    </row>
    <row r="31" spans="1:54" x14ac:dyDescent="0.2">
      <c r="A31" s="12"/>
      <c r="B31" s="15"/>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row>
    <row r="32" spans="1:54" x14ac:dyDescent="0.2">
      <c r="A32" s="16" t="s">
        <v>200</v>
      </c>
      <c r="B32" s="12"/>
      <c r="C32" s="11">
        <v>6080</v>
      </c>
      <c r="D32" s="11">
        <v>5405</v>
      </c>
      <c r="E32" s="11">
        <v>6529</v>
      </c>
      <c r="F32" s="11">
        <v>7362</v>
      </c>
      <c r="G32" s="11">
        <v>4997</v>
      </c>
      <c r="H32" s="11">
        <v>7056</v>
      </c>
      <c r="I32" s="11">
        <v>6825</v>
      </c>
      <c r="J32" s="11">
        <v>6980</v>
      </c>
      <c r="K32" s="11">
        <v>6629</v>
      </c>
      <c r="L32" s="11">
        <v>6378</v>
      </c>
      <c r="M32" s="11">
        <v>5654</v>
      </c>
      <c r="N32" s="11">
        <v>6491</v>
      </c>
      <c r="O32" s="11">
        <v>6564</v>
      </c>
      <c r="P32" s="11">
        <v>7383</v>
      </c>
      <c r="Q32" s="11">
        <v>5906</v>
      </c>
      <c r="R32" s="11">
        <v>6648</v>
      </c>
      <c r="S32" s="11">
        <v>5961</v>
      </c>
      <c r="T32" s="11">
        <v>6353</v>
      </c>
      <c r="U32" s="11">
        <v>6669</v>
      </c>
      <c r="V32" s="11">
        <v>5296</v>
      </c>
      <c r="W32" s="11">
        <v>5372</v>
      </c>
      <c r="X32" s="11">
        <v>5724</v>
      </c>
      <c r="Y32" s="11">
        <v>5761</v>
      </c>
      <c r="Z32" s="11">
        <v>5576</v>
      </c>
      <c r="AA32" s="11">
        <v>5914</v>
      </c>
      <c r="AB32" s="11">
        <v>6058</v>
      </c>
      <c r="AC32" s="11">
        <v>6010</v>
      </c>
      <c r="AD32" s="11">
        <v>6457</v>
      </c>
      <c r="AE32" s="11">
        <v>5629</v>
      </c>
      <c r="AF32" s="11">
        <v>5278</v>
      </c>
      <c r="AG32" s="11">
        <v>4812</v>
      </c>
      <c r="AH32" s="11">
        <v>3911</v>
      </c>
      <c r="AI32" s="11">
        <v>4937</v>
      </c>
      <c r="AJ32" s="11">
        <v>5380</v>
      </c>
      <c r="AK32" s="11">
        <v>5002</v>
      </c>
      <c r="AL32" s="11">
        <v>6319</v>
      </c>
      <c r="AM32" s="11">
        <v>8157</v>
      </c>
      <c r="AN32" s="11">
        <v>7635</v>
      </c>
      <c r="AO32" s="11">
        <v>9988</v>
      </c>
      <c r="AP32" s="11">
        <v>10387</v>
      </c>
      <c r="AQ32" s="11">
        <v>11134</v>
      </c>
      <c r="AR32" s="11">
        <v>11960</v>
      </c>
      <c r="AS32" s="11">
        <v>9866</v>
      </c>
      <c r="AT32" s="11">
        <v>10691</v>
      </c>
      <c r="AU32" s="11">
        <v>9753</v>
      </c>
      <c r="AV32" s="11">
        <v>11304</v>
      </c>
      <c r="AW32" s="11">
        <v>10778</v>
      </c>
      <c r="AX32" s="11">
        <v>11071</v>
      </c>
      <c r="AY32" s="11">
        <v>9556</v>
      </c>
      <c r="AZ32" s="11">
        <v>10164</v>
      </c>
      <c r="BA32" s="11">
        <v>8503</v>
      </c>
      <c r="BB32" s="11">
        <v>6377</v>
      </c>
    </row>
    <row r="33" spans="1:54" x14ac:dyDescent="0.2">
      <c r="A33" s="12"/>
      <c r="B33" s="15" t="s">
        <v>201</v>
      </c>
      <c r="C33" s="13">
        <v>1034</v>
      </c>
      <c r="D33" s="13">
        <v>1168</v>
      </c>
      <c r="E33" s="13">
        <v>454</v>
      </c>
      <c r="F33" s="13">
        <v>1138</v>
      </c>
      <c r="G33" s="13">
        <v>665</v>
      </c>
      <c r="H33" s="13">
        <v>1411</v>
      </c>
      <c r="I33" s="13">
        <v>773</v>
      </c>
      <c r="J33" s="13">
        <v>1098</v>
      </c>
      <c r="K33" s="13">
        <v>837</v>
      </c>
      <c r="L33" s="13">
        <v>920</v>
      </c>
      <c r="M33" s="13">
        <v>794</v>
      </c>
      <c r="N33" s="13">
        <v>837</v>
      </c>
      <c r="O33" s="13">
        <v>903</v>
      </c>
      <c r="P33" s="13">
        <v>1206</v>
      </c>
      <c r="Q33" s="13">
        <v>543</v>
      </c>
      <c r="R33" s="13">
        <v>484</v>
      </c>
      <c r="S33" s="13">
        <v>910</v>
      </c>
      <c r="T33" s="13">
        <v>687</v>
      </c>
      <c r="U33" s="13">
        <v>772</v>
      </c>
      <c r="V33" s="13">
        <v>621</v>
      </c>
      <c r="W33" s="13">
        <v>541</v>
      </c>
      <c r="X33" s="13">
        <v>964</v>
      </c>
      <c r="Y33" s="13">
        <v>670</v>
      </c>
      <c r="Z33" s="13">
        <v>403</v>
      </c>
      <c r="AA33" s="13">
        <v>834</v>
      </c>
      <c r="AB33" s="13">
        <v>346</v>
      </c>
      <c r="AC33" s="13">
        <v>407</v>
      </c>
      <c r="AD33" s="13">
        <v>268</v>
      </c>
      <c r="AE33" s="13">
        <v>187</v>
      </c>
      <c r="AF33" s="13">
        <v>331</v>
      </c>
      <c r="AG33" s="13">
        <v>595</v>
      </c>
      <c r="AH33" s="13">
        <v>253</v>
      </c>
      <c r="AI33" s="13">
        <v>682</v>
      </c>
      <c r="AJ33" s="13">
        <v>938</v>
      </c>
      <c r="AK33" s="13">
        <v>1228</v>
      </c>
      <c r="AL33" s="13">
        <v>1396</v>
      </c>
      <c r="AM33" s="13">
        <v>1283</v>
      </c>
      <c r="AN33" s="13">
        <v>1462</v>
      </c>
      <c r="AO33" s="13">
        <v>2596</v>
      </c>
      <c r="AP33" s="13">
        <v>3246</v>
      </c>
      <c r="AQ33" s="13">
        <v>2292</v>
      </c>
      <c r="AR33" s="13">
        <v>2408</v>
      </c>
      <c r="AS33" s="13">
        <v>1919</v>
      </c>
      <c r="AT33" s="13">
        <v>2353</v>
      </c>
      <c r="AU33" s="13">
        <v>1378</v>
      </c>
      <c r="AV33" s="13">
        <v>2751</v>
      </c>
      <c r="AW33" s="13">
        <v>2174</v>
      </c>
      <c r="AX33" s="13">
        <v>2226</v>
      </c>
      <c r="AY33" s="13">
        <v>1344</v>
      </c>
      <c r="AZ33" s="13">
        <v>2321</v>
      </c>
      <c r="BA33" s="13">
        <v>1837</v>
      </c>
      <c r="BB33" s="13">
        <v>829</v>
      </c>
    </row>
    <row r="34" spans="1:54" x14ac:dyDescent="0.2">
      <c r="A34" s="12"/>
      <c r="B34" s="15" t="s">
        <v>200</v>
      </c>
      <c r="C34" s="13">
        <v>3909</v>
      </c>
      <c r="D34" s="13">
        <v>3059</v>
      </c>
      <c r="E34" s="13">
        <v>5080</v>
      </c>
      <c r="F34" s="13">
        <v>4990</v>
      </c>
      <c r="G34" s="13">
        <v>3058</v>
      </c>
      <c r="H34" s="13">
        <v>4439</v>
      </c>
      <c r="I34" s="13">
        <v>4723</v>
      </c>
      <c r="J34" s="13">
        <v>4748</v>
      </c>
      <c r="K34" s="13">
        <v>4547</v>
      </c>
      <c r="L34" s="13">
        <v>3917</v>
      </c>
      <c r="M34" s="13">
        <v>3770</v>
      </c>
      <c r="N34" s="13">
        <v>4160</v>
      </c>
      <c r="O34" s="13">
        <v>4335</v>
      </c>
      <c r="P34" s="13">
        <v>4798</v>
      </c>
      <c r="Q34" s="13">
        <v>4243</v>
      </c>
      <c r="R34" s="13">
        <v>4790</v>
      </c>
      <c r="S34" s="13">
        <v>3794</v>
      </c>
      <c r="T34" s="13">
        <v>4227</v>
      </c>
      <c r="U34" s="13">
        <v>4624</v>
      </c>
      <c r="V34" s="13">
        <v>3412</v>
      </c>
      <c r="W34" s="13">
        <v>3395</v>
      </c>
      <c r="X34" s="13">
        <v>3555</v>
      </c>
      <c r="Y34" s="13">
        <v>3769</v>
      </c>
      <c r="Z34" s="13">
        <v>3952</v>
      </c>
      <c r="AA34" s="13">
        <v>3823</v>
      </c>
      <c r="AB34" s="13">
        <v>4195</v>
      </c>
      <c r="AC34" s="13">
        <v>4229</v>
      </c>
      <c r="AD34" s="13">
        <v>5074</v>
      </c>
      <c r="AE34" s="13">
        <v>4142</v>
      </c>
      <c r="AF34" s="13">
        <v>3673</v>
      </c>
      <c r="AG34" s="13">
        <v>3125</v>
      </c>
      <c r="AH34" s="13">
        <v>2518</v>
      </c>
      <c r="AI34" s="13">
        <v>3234</v>
      </c>
      <c r="AJ34" s="13">
        <v>3256</v>
      </c>
      <c r="AK34" s="13">
        <v>2540</v>
      </c>
      <c r="AL34" s="13">
        <v>3766</v>
      </c>
      <c r="AM34" s="13">
        <v>5610</v>
      </c>
      <c r="AN34" s="13">
        <v>5056</v>
      </c>
      <c r="AO34" s="13">
        <v>6286</v>
      </c>
      <c r="AP34" s="13">
        <v>5728</v>
      </c>
      <c r="AQ34" s="13">
        <v>7566</v>
      </c>
      <c r="AR34" s="13">
        <v>8178</v>
      </c>
      <c r="AS34" s="13">
        <v>6617</v>
      </c>
      <c r="AT34" s="13">
        <v>6822</v>
      </c>
      <c r="AU34" s="13">
        <v>7103</v>
      </c>
      <c r="AV34" s="13">
        <v>7285</v>
      </c>
      <c r="AW34" s="13">
        <v>7407</v>
      </c>
      <c r="AX34" s="13">
        <v>7409</v>
      </c>
      <c r="AY34" s="13">
        <v>6958</v>
      </c>
      <c r="AZ34" s="13">
        <v>6489</v>
      </c>
      <c r="BA34" s="13">
        <v>5455</v>
      </c>
      <c r="BB34" s="13">
        <v>4469</v>
      </c>
    </row>
    <row r="35" spans="1:54" x14ac:dyDescent="0.2">
      <c r="A35" s="12"/>
      <c r="B35" s="15" t="s">
        <v>202</v>
      </c>
      <c r="C35" s="13">
        <v>1137</v>
      </c>
      <c r="D35" s="13">
        <v>1178</v>
      </c>
      <c r="E35" s="13">
        <v>995</v>
      </c>
      <c r="F35" s="13">
        <v>1234</v>
      </c>
      <c r="G35" s="13">
        <v>1274</v>
      </c>
      <c r="H35" s="13">
        <v>1206</v>
      </c>
      <c r="I35" s="13">
        <v>1329</v>
      </c>
      <c r="J35" s="13">
        <v>1134</v>
      </c>
      <c r="K35" s="13">
        <v>1245</v>
      </c>
      <c r="L35" s="13">
        <v>1541</v>
      </c>
      <c r="M35" s="13">
        <v>1090</v>
      </c>
      <c r="N35" s="13">
        <v>1494</v>
      </c>
      <c r="O35" s="13">
        <v>1326</v>
      </c>
      <c r="P35" s="13">
        <v>1379</v>
      </c>
      <c r="Q35" s="13">
        <v>1120</v>
      </c>
      <c r="R35" s="13">
        <v>1374</v>
      </c>
      <c r="S35" s="13">
        <v>1257</v>
      </c>
      <c r="T35" s="13">
        <v>1439</v>
      </c>
      <c r="U35" s="13">
        <v>1273</v>
      </c>
      <c r="V35" s="13">
        <v>1263</v>
      </c>
      <c r="W35" s="13">
        <v>1436</v>
      </c>
      <c r="X35" s="13">
        <v>1205</v>
      </c>
      <c r="Y35" s="13">
        <v>1322</v>
      </c>
      <c r="Z35" s="13">
        <v>1221</v>
      </c>
      <c r="AA35" s="13">
        <v>1257</v>
      </c>
      <c r="AB35" s="13">
        <v>1517</v>
      </c>
      <c r="AC35" s="13">
        <v>1374</v>
      </c>
      <c r="AD35" s="13">
        <v>1115</v>
      </c>
      <c r="AE35" s="13">
        <v>1300</v>
      </c>
      <c r="AF35" s="13">
        <v>1274</v>
      </c>
      <c r="AG35" s="13">
        <v>1092</v>
      </c>
      <c r="AH35" s="13">
        <v>1140</v>
      </c>
      <c r="AI35" s="13">
        <v>1021</v>
      </c>
      <c r="AJ35" s="13">
        <v>1186</v>
      </c>
      <c r="AK35" s="13">
        <v>1234</v>
      </c>
      <c r="AL35" s="13">
        <v>1157</v>
      </c>
      <c r="AM35" s="13">
        <v>1264</v>
      </c>
      <c r="AN35" s="13">
        <v>1117</v>
      </c>
      <c r="AO35" s="13">
        <v>1106</v>
      </c>
      <c r="AP35" s="13">
        <v>1413</v>
      </c>
      <c r="AQ35" s="13">
        <v>1276</v>
      </c>
      <c r="AR35" s="13">
        <v>1374</v>
      </c>
      <c r="AS35" s="13">
        <v>1330</v>
      </c>
      <c r="AT35" s="13">
        <v>1516</v>
      </c>
      <c r="AU35" s="13">
        <v>1272</v>
      </c>
      <c r="AV35" s="13">
        <v>1268</v>
      </c>
      <c r="AW35" s="13">
        <v>1197</v>
      </c>
      <c r="AX35" s="13">
        <v>1436</v>
      </c>
      <c r="AY35" s="13">
        <v>1254</v>
      </c>
      <c r="AZ35" s="13">
        <v>1354</v>
      </c>
      <c r="BA35" s="13">
        <v>1211</v>
      </c>
      <c r="BB35" s="13">
        <v>1079</v>
      </c>
    </row>
    <row r="36" spans="1:54" x14ac:dyDescent="0.2">
      <c r="A36" s="12"/>
      <c r="B36" s="15"/>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row>
    <row r="37" spans="1:54" x14ac:dyDescent="0.2">
      <c r="A37" s="9" t="s">
        <v>203</v>
      </c>
      <c r="B37" s="42"/>
      <c r="C37" s="5">
        <v>1647</v>
      </c>
      <c r="D37" s="5">
        <v>1388</v>
      </c>
      <c r="E37" s="5">
        <v>1265</v>
      </c>
      <c r="F37" s="5">
        <v>1420</v>
      </c>
      <c r="G37" s="5">
        <v>1438</v>
      </c>
      <c r="H37" s="5">
        <v>1502</v>
      </c>
      <c r="I37" s="5">
        <v>1418</v>
      </c>
      <c r="J37" s="5">
        <v>1530</v>
      </c>
      <c r="K37" s="5">
        <v>1525</v>
      </c>
      <c r="L37" s="5">
        <v>1805</v>
      </c>
      <c r="M37" s="5">
        <v>1930</v>
      </c>
      <c r="N37" s="5">
        <v>1795</v>
      </c>
      <c r="O37" s="5">
        <v>1622</v>
      </c>
      <c r="P37" s="5">
        <v>1485</v>
      </c>
      <c r="Q37" s="5">
        <v>1477</v>
      </c>
      <c r="R37" s="5">
        <v>1432</v>
      </c>
      <c r="S37" s="5">
        <v>1657</v>
      </c>
      <c r="T37" s="5">
        <v>1517</v>
      </c>
      <c r="U37" s="5">
        <v>1365</v>
      </c>
      <c r="V37" s="5">
        <v>1360</v>
      </c>
      <c r="W37" s="5">
        <v>1607</v>
      </c>
      <c r="X37" s="5">
        <v>1397</v>
      </c>
      <c r="Y37" s="5">
        <v>1512</v>
      </c>
      <c r="Z37" s="5">
        <v>1609</v>
      </c>
      <c r="AA37" s="5">
        <v>1630</v>
      </c>
      <c r="AB37" s="5">
        <v>1451</v>
      </c>
      <c r="AC37" s="5">
        <v>1470</v>
      </c>
      <c r="AD37" s="5">
        <v>1554</v>
      </c>
      <c r="AE37" s="5">
        <v>1819</v>
      </c>
      <c r="AF37" s="5">
        <v>1610</v>
      </c>
      <c r="AG37" s="5">
        <v>1398</v>
      </c>
      <c r="AH37" s="5">
        <v>1397</v>
      </c>
      <c r="AI37" s="5">
        <v>1387</v>
      </c>
      <c r="AJ37" s="5">
        <v>1487</v>
      </c>
      <c r="AK37" s="5">
        <v>1332</v>
      </c>
      <c r="AL37" s="5">
        <v>1436</v>
      </c>
      <c r="AM37" s="5">
        <v>1416</v>
      </c>
      <c r="AN37" s="5">
        <v>1747</v>
      </c>
      <c r="AO37" s="5">
        <v>1493</v>
      </c>
      <c r="AP37" s="5">
        <v>1915</v>
      </c>
      <c r="AQ37" s="5">
        <v>1564</v>
      </c>
      <c r="AR37" s="5">
        <v>1897</v>
      </c>
      <c r="AS37" s="5">
        <v>1532</v>
      </c>
      <c r="AT37" s="5">
        <v>1815</v>
      </c>
      <c r="AU37" s="5">
        <v>1622</v>
      </c>
      <c r="AV37" s="5">
        <v>1704</v>
      </c>
      <c r="AW37" s="5">
        <v>1839</v>
      </c>
      <c r="AX37" s="5">
        <v>1584</v>
      </c>
      <c r="AY37" s="5">
        <v>1624</v>
      </c>
      <c r="AZ37" s="5">
        <v>1421</v>
      </c>
      <c r="BA37" s="5">
        <v>1322</v>
      </c>
      <c r="BB37" s="5">
        <v>1309</v>
      </c>
    </row>
    <row r="38" spans="1:54" x14ac:dyDescent="0.2">
      <c r="A38" s="4"/>
      <c r="B38" s="4"/>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row>
    <row r="39" spans="1:54" x14ac:dyDescent="0.2">
      <c r="A39" s="18" t="s">
        <v>204</v>
      </c>
      <c r="B39" s="19"/>
      <c r="C39" s="20">
        <v>13973</v>
      </c>
      <c r="D39" s="20">
        <v>14215</v>
      </c>
      <c r="E39" s="20">
        <v>16571</v>
      </c>
      <c r="F39" s="20">
        <v>18403</v>
      </c>
      <c r="G39" s="20">
        <v>16699</v>
      </c>
      <c r="H39" s="20">
        <v>18595</v>
      </c>
      <c r="I39" s="20">
        <v>17639</v>
      </c>
      <c r="J39" s="20">
        <v>17470</v>
      </c>
      <c r="K39" s="20">
        <v>17852</v>
      </c>
      <c r="L39" s="20">
        <v>18087</v>
      </c>
      <c r="M39" s="20">
        <v>17938</v>
      </c>
      <c r="N39" s="20">
        <v>17727</v>
      </c>
      <c r="O39" s="20">
        <v>18470</v>
      </c>
      <c r="P39" s="20">
        <v>19174</v>
      </c>
      <c r="Q39" s="20">
        <v>18321</v>
      </c>
      <c r="R39" s="20">
        <v>18801</v>
      </c>
      <c r="S39" s="20">
        <v>18301</v>
      </c>
      <c r="T39" s="20">
        <v>18495</v>
      </c>
      <c r="U39" s="20">
        <v>18883</v>
      </c>
      <c r="V39" s="20">
        <v>15725</v>
      </c>
      <c r="W39" s="20">
        <v>16551</v>
      </c>
      <c r="X39" s="20">
        <v>15449</v>
      </c>
      <c r="Y39" s="20">
        <v>15964</v>
      </c>
      <c r="Z39" s="20">
        <v>17136</v>
      </c>
      <c r="AA39" s="20">
        <v>16131</v>
      </c>
      <c r="AB39" s="20">
        <v>17895</v>
      </c>
      <c r="AC39" s="20">
        <v>15943</v>
      </c>
      <c r="AD39" s="20">
        <v>17832</v>
      </c>
      <c r="AE39" s="20">
        <v>16797</v>
      </c>
      <c r="AF39" s="20">
        <v>17564</v>
      </c>
      <c r="AG39" s="20">
        <v>16381</v>
      </c>
      <c r="AH39" s="20">
        <v>15298</v>
      </c>
      <c r="AI39" s="20">
        <v>17693</v>
      </c>
      <c r="AJ39" s="20">
        <v>18118</v>
      </c>
      <c r="AK39" s="20">
        <v>16031</v>
      </c>
      <c r="AL39" s="20">
        <v>18035</v>
      </c>
      <c r="AM39" s="20">
        <v>20512</v>
      </c>
      <c r="AN39" s="20">
        <v>16762</v>
      </c>
      <c r="AO39" s="20">
        <v>20904</v>
      </c>
      <c r="AP39" s="20">
        <v>21557</v>
      </c>
      <c r="AQ39" s="20">
        <v>23025</v>
      </c>
      <c r="AR39" s="20">
        <v>25287</v>
      </c>
      <c r="AS39" s="20">
        <v>22234</v>
      </c>
      <c r="AT39" s="20">
        <v>23626</v>
      </c>
      <c r="AU39" s="20">
        <v>20759</v>
      </c>
      <c r="AV39" s="20">
        <v>23002</v>
      </c>
      <c r="AW39" s="20">
        <v>23672</v>
      </c>
      <c r="AX39" s="20">
        <v>21783</v>
      </c>
      <c r="AY39" s="20">
        <v>22251</v>
      </c>
      <c r="AZ39" s="20">
        <v>20672</v>
      </c>
      <c r="BA39" s="20">
        <v>15354</v>
      </c>
      <c r="BB39" s="20">
        <v>13677</v>
      </c>
    </row>
    <row r="40" spans="1:54" x14ac:dyDescent="0.2">
      <c r="A40" s="12"/>
      <c r="B40" s="15"/>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row>
    <row r="41" spans="1:54" x14ac:dyDescent="0.2">
      <c r="A41" s="12"/>
      <c r="B41" s="15" t="s">
        <v>205</v>
      </c>
      <c r="C41" s="13">
        <v>41485</v>
      </c>
      <c r="D41" s="13">
        <v>45625</v>
      </c>
      <c r="E41" s="13">
        <v>42670</v>
      </c>
      <c r="F41" s="13">
        <v>45981</v>
      </c>
      <c r="G41" s="13">
        <v>43310</v>
      </c>
      <c r="H41" s="13">
        <v>48030</v>
      </c>
      <c r="I41" s="13">
        <v>43860</v>
      </c>
      <c r="J41" s="13">
        <v>43942</v>
      </c>
      <c r="K41" s="13">
        <v>45645</v>
      </c>
      <c r="L41" s="13">
        <v>48734</v>
      </c>
      <c r="M41" s="13">
        <v>48226</v>
      </c>
      <c r="N41" s="13">
        <v>52171</v>
      </c>
      <c r="O41" s="13">
        <v>51161</v>
      </c>
      <c r="P41" s="13">
        <v>54720</v>
      </c>
      <c r="Q41" s="13">
        <v>50947</v>
      </c>
      <c r="R41" s="13">
        <v>52189</v>
      </c>
      <c r="S41" s="13">
        <v>55806</v>
      </c>
      <c r="T41" s="13">
        <v>55851</v>
      </c>
      <c r="U41" s="13">
        <v>53876</v>
      </c>
      <c r="V41" s="13">
        <v>53267</v>
      </c>
      <c r="W41" s="13">
        <v>46486</v>
      </c>
      <c r="X41" s="13">
        <v>45547</v>
      </c>
      <c r="Y41" s="13">
        <v>48756</v>
      </c>
      <c r="Z41" s="13">
        <v>48598</v>
      </c>
      <c r="AA41" s="13">
        <v>48136</v>
      </c>
      <c r="AB41" s="13">
        <v>46211</v>
      </c>
      <c r="AC41" s="13">
        <v>43307</v>
      </c>
      <c r="AD41" s="13">
        <v>47708</v>
      </c>
      <c r="AE41" s="13">
        <v>46849</v>
      </c>
      <c r="AF41" s="13">
        <v>50047</v>
      </c>
      <c r="AG41" s="13">
        <v>49404</v>
      </c>
      <c r="AH41" s="13">
        <v>52068</v>
      </c>
      <c r="AI41" s="13">
        <v>50896</v>
      </c>
      <c r="AJ41" s="13">
        <v>50789</v>
      </c>
      <c r="AK41" s="13">
        <v>52838</v>
      </c>
      <c r="AL41" s="13">
        <v>46310</v>
      </c>
      <c r="AM41" s="13">
        <v>50523</v>
      </c>
      <c r="AN41" s="13">
        <v>45521</v>
      </c>
      <c r="AO41" s="13">
        <v>50463</v>
      </c>
      <c r="AP41" s="13">
        <v>49378</v>
      </c>
      <c r="AQ41" s="13">
        <v>46423</v>
      </c>
      <c r="AR41" s="13">
        <v>44937</v>
      </c>
      <c r="AS41" s="13">
        <v>44973</v>
      </c>
      <c r="AT41" s="13">
        <v>45158</v>
      </c>
      <c r="AU41" s="13">
        <v>43730</v>
      </c>
      <c r="AV41" s="13">
        <v>43556</v>
      </c>
      <c r="AW41" s="13">
        <v>41077</v>
      </c>
      <c r="AX41" s="13">
        <v>42820</v>
      </c>
      <c r="AY41" s="13">
        <v>41168</v>
      </c>
      <c r="AZ41" s="13">
        <v>42982</v>
      </c>
      <c r="BA41" s="13">
        <v>31031</v>
      </c>
      <c r="BB41" s="13">
        <v>31550</v>
      </c>
    </row>
    <row r="42" spans="1:54" x14ac:dyDescent="0.2">
      <c r="A42" s="12"/>
      <c r="B42" s="15" t="s">
        <v>206</v>
      </c>
      <c r="C42" s="13">
        <v>0</v>
      </c>
      <c r="D42" s="13">
        <v>0</v>
      </c>
      <c r="E42" s="13">
        <v>0</v>
      </c>
      <c r="F42" s="13">
        <v>0</v>
      </c>
      <c r="G42" s="13">
        <v>0</v>
      </c>
      <c r="H42" s="13">
        <v>0</v>
      </c>
      <c r="I42" s="13">
        <v>0</v>
      </c>
      <c r="J42" s="13">
        <v>0</v>
      </c>
      <c r="K42" s="13">
        <v>0</v>
      </c>
      <c r="L42" s="13">
        <v>0</v>
      </c>
      <c r="M42" s="13">
        <v>0</v>
      </c>
      <c r="N42" s="13">
        <v>0</v>
      </c>
      <c r="O42" s="13">
        <v>0</v>
      </c>
      <c r="P42" s="13">
        <v>0</v>
      </c>
      <c r="Q42" s="13">
        <v>0</v>
      </c>
      <c r="R42" s="13">
        <v>0</v>
      </c>
      <c r="S42" s="13">
        <v>0</v>
      </c>
      <c r="T42" s="13">
        <v>0</v>
      </c>
      <c r="U42" s="13">
        <v>0</v>
      </c>
      <c r="V42" s="13">
        <v>0</v>
      </c>
      <c r="W42" s="13">
        <v>0</v>
      </c>
      <c r="X42" s="13">
        <v>0</v>
      </c>
      <c r="Y42" s="13">
        <v>0</v>
      </c>
      <c r="Z42" s="13">
        <v>0</v>
      </c>
      <c r="AA42" s="13">
        <v>0</v>
      </c>
      <c r="AB42" s="13">
        <v>0</v>
      </c>
      <c r="AC42" s="13">
        <v>0</v>
      </c>
      <c r="AD42" s="13">
        <v>0</v>
      </c>
      <c r="AE42" s="13">
        <v>0</v>
      </c>
      <c r="AF42" s="13">
        <v>0</v>
      </c>
      <c r="AG42" s="13">
        <v>0</v>
      </c>
      <c r="AH42" s="13">
        <v>0</v>
      </c>
      <c r="AI42" s="13">
        <v>0</v>
      </c>
      <c r="AJ42" s="13">
        <v>0</v>
      </c>
      <c r="AK42" s="13">
        <v>0</v>
      </c>
      <c r="AL42" s="13">
        <v>0</v>
      </c>
      <c r="AM42" s="13">
        <v>0</v>
      </c>
      <c r="AN42" s="13">
        <v>0</v>
      </c>
      <c r="AO42" s="13">
        <v>0</v>
      </c>
      <c r="AP42" s="13">
        <v>0</v>
      </c>
      <c r="AQ42" s="13">
        <v>0</v>
      </c>
      <c r="AR42" s="13">
        <v>0</v>
      </c>
      <c r="AS42" s="13">
        <v>0</v>
      </c>
      <c r="AT42" s="13">
        <v>0</v>
      </c>
      <c r="AU42" s="13">
        <v>0</v>
      </c>
      <c r="AV42" s="13">
        <v>0</v>
      </c>
      <c r="AW42" s="13">
        <v>0</v>
      </c>
      <c r="AX42" s="13">
        <v>0</v>
      </c>
      <c r="AY42" s="13">
        <v>0</v>
      </c>
      <c r="AZ42" s="13">
        <v>0</v>
      </c>
      <c r="BA42" s="13">
        <v>0</v>
      </c>
      <c r="BB42" s="13">
        <v>0</v>
      </c>
    </row>
    <row r="43" spans="1:54" x14ac:dyDescent="0.2">
      <c r="A43" s="12"/>
      <c r="B43" s="15"/>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row>
    <row r="44" spans="1:54" x14ac:dyDescent="0.2">
      <c r="A44" s="18" t="s">
        <v>207</v>
      </c>
      <c r="B44" s="18"/>
      <c r="C44" s="20">
        <v>41485</v>
      </c>
      <c r="D44" s="20">
        <v>45625</v>
      </c>
      <c r="E44" s="20">
        <v>42670</v>
      </c>
      <c r="F44" s="20">
        <v>45981</v>
      </c>
      <c r="G44" s="20">
        <v>43310</v>
      </c>
      <c r="H44" s="20">
        <v>48030</v>
      </c>
      <c r="I44" s="20">
        <v>43860</v>
      </c>
      <c r="J44" s="20">
        <v>43942</v>
      </c>
      <c r="K44" s="20">
        <v>45645</v>
      </c>
      <c r="L44" s="20">
        <v>48734</v>
      </c>
      <c r="M44" s="20">
        <v>48226</v>
      </c>
      <c r="N44" s="20">
        <v>52171</v>
      </c>
      <c r="O44" s="20">
        <v>51161</v>
      </c>
      <c r="P44" s="20">
        <v>54720</v>
      </c>
      <c r="Q44" s="20">
        <v>50947</v>
      </c>
      <c r="R44" s="20">
        <v>52189</v>
      </c>
      <c r="S44" s="20">
        <v>55806</v>
      </c>
      <c r="T44" s="20">
        <v>55851</v>
      </c>
      <c r="U44" s="20">
        <v>53876</v>
      </c>
      <c r="V44" s="20">
        <v>53267</v>
      </c>
      <c r="W44" s="20">
        <v>46486</v>
      </c>
      <c r="X44" s="20">
        <v>45547</v>
      </c>
      <c r="Y44" s="20">
        <v>48756</v>
      </c>
      <c r="Z44" s="20">
        <v>48598</v>
      </c>
      <c r="AA44" s="20">
        <v>48136</v>
      </c>
      <c r="AB44" s="20">
        <v>46211</v>
      </c>
      <c r="AC44" s="20">
        <v>43307</v>
      </c>
      <c r="AD44" s="20">
        <v>47708</v>
      </c>
      <c r="AE44" s="20">
        <v>46849</v>
      </c>
      <c r="AF44" s="20">
        <v>50047</v>
      </c>
      <c r="AG44" s="20">
        <v>49404</v>
      </c>
      <c r="AH44" s="20">
        <v>52068</v>
      </c>
      <c r="AI44" s="20">
        <v>50896</v>
      </c>
      <c r="AJ44" s="20">
        <v>50789</v>
      </c>
      <c r="AK44" s="20">
        <v>52838</v>
      </c>
      <c r="AL44" s="20">
        <v>46310</v>
      </c>
      <c r="AM44" s="20">
        <v>50523</v>
      </c>
      <c r="AN44" s="20">
        <v>45521</v>
      </c>
      <c r="AO44" s="20">
        <v>50463</v>
      </c>
      <c r="AP44" s="20">
        <v>49378</v>
      </c>
      <c r="AQ44" s="20">
        <v>46423</v>
      </c>
      <c r="AR44" s="20">
        <v>44937</v>
      </c>
      <c r="AS44" s="20">
        <v>44973</v>
      </c>
      <c r="AT44" s="20">
        <v>45158</v>
      </c>
      <c r="AU44" s="20">
        <v>43730</v>
      </c>
      <c r="AV44" s="20">
        <v>43556</v>
      </c>
      <c r="AW44" s="20">
        <v>41077</v>
      </c>
      <c r="AX44" s="20">
        <v>42820</v>
      </c>
      <c r="AY44" s="20">
        <v>41168</v>
      </c>
      <c r="AZ44" s="20">
        <v>42982</v>
      </c>
      <c r="BA44" s="20">
        <v>31031</v>
      </c>
      <c r="BB44" s="20">
        <v>31550</v>
      </c>
    </row>
    <row r="45" spans="1:54" x14ac:dyDescent="0.2">
      <c r="A45" s="12"/>
      <c r="B45" s="14"/>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row>
    <row r="46" spans="1:54" ht="13.5" thickBot="1" x14ac:dyDescent="0.25">
      <c r="A46" s="21" t="s">
        <v>208</v>
      </c>
      <c r="B46" s="22"/>
      <c r="C46" s="23">
        <v>93572</v>
      </c>
      <c r="D46" s="23">
        <v>102325</v>
      </c>
      <c r="E46" s="23">
        <v>99166</v>
      </c>
      <c r="F46" s="23">
        <v>106572</v>
      </c>
      <c r="G46" s="23">
        <v>101030</v>
      </c>
      <c r="H46" s="23">
        <v>108651</v>
      </c>
      <c r="I46" s="23">
        <v>103826</v>
      </c>
      <c r="J46" s="23">
        <v>101845</v>
      </c>
      <c r="K46" s="23">
        <v>106351</v>
      </c>
      <c r="L46" s="23">
        <v>109246</v>
      </c>
      <c r="M46" s="23">
        <v>111311</v>
      </c>
      <c r="N46" s="23">
        <v>118766</v>
      </c>
      <c r="O46" s="23">
        <v>117064</v>
      </c>
      <c r="P46" s="23">
        <v>119326</v>
      </c>
      <c r="Q46" s="23">
        <v>113943</v>
      </c>
      <c r="R46" s="23">
        <v>115654</v>
      </c>
      <c r="S46" s="23">
        <v>119793</v>
      </c>
      <c r="T46" s="23">
        <v>118546</v>
      </c>
      <c r="U46" s="23">
        <v>116822</v>
      </c>
      <c r="V46" s="23">
        <v>115243</v>
      </c>
      <c r="W46" s="23">
        <v>109866</v>
      </c>
      <c r="X46" s="23">
        <v>105214</v>
      </c>
      <c r="Y46" s="23">
        <v>111017</v>
      </c>
      <c r="Z46" s="23">
        <v>110997</v>
      </c>
      <c r="AA46" s="23">
        <v>109353</v>
      </c>
      <c r="AB46" s="23">
        <v>109838</v>
      </c>
      <c r="AC46" s="23">
        <v>103483</v>
      </c>
      <c r="AD46" s="23">
        <v>110703</v>
      </c>
      <c r="AE46" s="23">
        <v>107637</v>
      </c>
      <c r="AF46" s="23">
        <v>111220</v>
      </c>
      <c r="AG46" s="23">
        <v>110864</v>
      </c>
      <c r="AH46" s="23">
        <v>113333</v>
      </c>
      <c r="AI46" s="23">
        <v>115088</v>
      </c>
      <c r="AJ46" s="23">
        <v>115117</v>
      </c>
      <c r="AK46" s="23">
        <v>114834</v>
      </c>
      <c r="AL46" s="23">
        <v>108485</v>
      </c>
      <c r="AM46" s="23">
        <v>115656</v>
      </c>
      <c r="AN46" s="23">
        <v>108102</v>
      </c>
      <c r="AO46" s="23">
        <v>117433</v>
      </c>
      <c r="AP46" s="23">
        <v>116734</v>
      </c>
      <c r="AQ46" s="23">
        <v>115007</v>
      </c>
      <c r="AR46" s="23">
        <v>114535</v>
      </c>
      <c r="AS46" s="23">
        <v>110555</v>
      </c>
      <c r="AT46" s="23">
        <v>112020</v>
      </c>
      <c r="AU46" s="23">
        <v>108696</v>
      </c>
      <c r="AV46" s="23">
        <v>111000</v>
      </c>
      <c r="AW46" s="23">
        <v>109323</v>
      </c>
      <c r="AX46" s="23">
        <v>110413</v>
      </c>
      <c r="AY46" s="23">
        <v>107455</v>
      </c>
      <c r="AZ46" s="23">
        <v>106053</v>
      </c>
      <c r="BA46" s="23">
        <v>82445</v>
      </c>
      <c r="BB46" s="23">
        <v>81088</v>
      </c>
    </row>
    <row r="47" spans="1:54" ht="13.5" thickTop="1" x14ac:dyDescent="0.2">
      <c r="A47" s="42"/>
      <c r="B47" s="42"/>
      <c r="C47" s="43"/>
      <c r="D47" s="42"/>
      <c r="E47" s="42"/>
      <c r="F47" s="42"/>
      <c r="G47" s="42"/>
      <c r="H47" s="42"/>
      <c r="I47" s="42"/>
      <c r="J47" s="42"/>
      <c r="K47" s="42"/>
      <c r="L47" s="42"/>
      <c r="M47" s="42"/>
      <c r="N47" s="42"/>
      <c r="O47" s="42"/>
      <c r="P47" s="42"/>
      <c r="Q47" s="42"/>
      <c r="R47" s="42"/>
      <c r="S47" s="42"/>
      <c r="T47" s="42"/>
      <c r="U47" s="42"/>
      <c r="V47" s="42"/>
      <c r="W47" s="42"/>
      <c r="X47" s="42"/>
      <c r="Y47" s="42"/>
      <c r="Z47" s="42"/>
      <c r="AA47" s="42"/>
      <c r="AB47" s="42"/>
      <c r="AC47" s="42"/>
      <c r="AD47" s="42"/>
      <c r="AE47" s="42"/>
      <c r="AF47" s="42"/>
      <c r="AG47" s="42"/>
      <c r="AH47" s="42"/>
      <c r="AI47" s="42"/>
      <c r="AJ47" s="42"/>
      <c r="AK47" s="42"/>
      <c r="AL47" s="42"/>
      <c r="AM47" s="42"/>
      <c r="AN47" s="42"/>
      <c r="AO47" s="42"/>
      <c r="AP47" s="42"/>
      <c r="AQ47" s="42"/>
      <c r="AR47" s="42"/>
      <c r="AS47" s="42"/>
      <c r="AT47" s="42"/>
      <c r="AU47" s="42"/>
      <c r="AV47" s="42"/>
      <c r="AW47" s="42"/>
      <c r="AX47" s="42"/>
      <c r="AY47" s="42"/>
      <c r="AZ47" s="42"/>
      <c r="BA47" s="42"/>
      <c r="BB47" s="42"/>
    </row>
    <row r="48" spans="1:54" x14ac:dyDescent="0.2">
      <c r="A48" s="42"/>
      <c r="B48" s="42"/>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2"/>
      <c r="AD48" s="42"/>
      <c r="AE48" s="42"/>
      <c r="AF48" s="42"/>
      <c r="AG48" s="42"/>
      <c r="AH48" s="42"/>
      <c r="AI48" s="42"/>
      <c r="AJ48" s="42"/>
      <c r="AK48" s="42"/>
      <c r="AL48" s="42"/>
      <c r="AM48" s="42"/>
      <c r="AN48" s="42"/>
      <c r="AO48" s="42"/>
      <c r="AP48" s="42"/>
      <c r="AQ48" s="42"/>
      <c r="AR48" s="42"/>
      <c r="AS48" s="42"/>
      <c r="AT48" s="42"/>
      <c r="AU48" s="42"/>
      <c r="AV48" s="42"/>
      <c r="AW48" s="42"/>
      <c r="AX48" s="42"/>
      <c r="AY48" s="42"/>
      <c r="AZ48" s="42"/>
      <c r="BA48" s="42"/>
      <c r="BB48" s="42"/>
    </row>
    <row r="49" spans="1:54" ht="13.5" thickBot="1" x14ac:dyDescent="0.25">
      <c r="A49" s="46" t="s">
        <v>209</v>
      </c>
      <c r="B49" s="22"/>
      <c r="C49" s="23">
        <v>3712.9584410000002</v>
      </c>
      <c r="D49" s="23">
        <v>4088.9985680000004</v>
      </c>
      <c r="E49" s="23">
        <v>4212.5932039999998</v>
      </c>
      <c r="F49" s="23">
        <v>4469.7861410000005</v>
      </c>
      <c r="G49" s="23">
        <v>4083.6606190000007</v>
      </c>
      <c r="H49" s="23">
        <v>4449.5391609999997</v>
      </c>
      <c r="I49" s="23">
        <v>4334.1590499999993</v>
      </c>
      <c r="J49" s="23">
        <v>4342.2862119999991</v>
      </c>
      <c r="K49" s="23">
        <v>4505.1210970000002</v>
      </c>
      <c r="L49" s="23">
        <v>4655.5461209999994</v>
      </c>
      <c r="M49" s="23">
        <v>4812.3929529999996</v>
      </c>
      <c r="N49" s="23">
        <v>5077.8705520000003</v>
      </c>
      <c r="O49" s="23">
        <v>4862.986969999999</v>
      </c>
      <c r="P49" s="23">
        <v>4958.804204</v>
      </c>
      <c r="Q49" s="23">
        <v>4858.5508129999998</v>
      </c>
      <c r="R49" s="23">
        <v>4759.9822569999997</v>
      </c>
      <c r="S49" s="23">
        <v>4850.3248509999994</v>
      </c>
      <c r="T49" s="23">
        <v>4742.8871319999998</v>
      </c>
      <c r="U49" s="23">
        <v>4634.7444930000011</v>
      </c>
      <c r="V49" s="23">
        <v>4712.5221659999988</v>
      </c>
      <c r="W49" s="23">
        <v>4597.6056030000009</v>
      </c>
      <c r="X49" s="23">
        <v>4295.3485950000013</v>
      </c>
      <c r="Y49" s="23">
        <v>4563.9220650000007</v>
      </c>
      <c r="Z49" s="23">
        <v>4369.3904980000007</v>
      </c>
      <c r="AA49" s="23">
        <v>4594.5769549999986</v>
      </c>
      <c r="AB49" s="23">
        <v>4355.5350680000001</v>
      </c>
      <c r="AC49" s="23">
        <v>4317.8563909999993</v>
      </c>
      <c r="AD49" s="23">
        <v>4648.9484830000001</v>
      </c>
      <c r="AE49" s="23">
        <v>4465.6148150000008</v>
      </c>
      <c r="AF49" s="23">
        <v>4431.6294120000002</v>
      </c>
      <c r="AG49" s="23">
        <v>4288.8747999999996</v>
      </c>
      <c r="AH49" s="23">
        <v>4297.8534310000005</v>
      </c>
      <c r="AI49" s="23">
        <v>4567.0454179999997</v>
      </c>
      <c r="AJ49" s="23">
        <v>4431.4030370000009</v>
      </c>
      <c r="AK49" s="23">
        <v>4419.0812049999995</v>
      </c>
      <c r="AL49" s="23">
        <v>4301.4539419999992</v>
      </c>
      <c r="AM49" s="23">
        <v>4761.7790180000011</v>
      </c>
      <c r="AN49" s="23">
        <v>4389.631832</v>
      </c>
      <c r="AO49" s="23">
        <v>4669.8294910000004</v>
      </c>
      <c r="AP49" s="23">
        <v>4741.6144239999994</v>
      </c>
      <c r="AQ49" s="23">
        <v>4714.0291550000002</v>
      </c>
      <c r="AR49" s="23">
        <v>5028.9842869999993</v>
      </c>
      <c r="AS49" s="23">
        <v>4891.7887140000003</v>
      </c>
      <c r="AT49" s="23">
        <v>4850.8272019999995</v>
      </c>
      <c r="AU49" s="23">
        <v>4541.3466219999991</v>
      </c>
      <c r="AV49" s="23">
        <v>4866.0994639999999</v>
      </c>
      <c r="AW49" s="23">
        <v>4749.2626689999988</v>
      </c>
      <c r="AX49" s="23">
        <v>4766.2198560000015</v>
      </c>
      <c r="AY49" s="23">
        <v>4690.7563650000002</v>
      </c>
      <c r="AZ49" s="23">
        <v>4686.6710720000001</v>
      </c>
      <c r="BA49" s="23">
        <v>3473.258973</v>
      </c>
      <c r="BB49" s="23">
        <v>3526.6147539999997</v>
      </c>
    </row>
    <row r="50" spans="1:54" ht="13.5" thickTop="1" x14ac:dyDescent="0.2">
      <c r="A50" s="42"/>
      <c r="B50" s="42"/>
      <c r="C50" s="43"/>
      <c r="D50" s="42"/>
      <c r="E50" s="42"/>
      <c r="F50" s="42"/>
      <c r="G50" s="42"/>
      <c r="H50" s="42"/>
      <c r="I50" s="42"/>
      <c r="J50" s="42"/>
      <c r="K50" s="42"/>
      <c r="L50" s="42"/>
      <c r="M50" s="42"/>
      <c r="N50" s="42"/>
      <c r="O50" s="42"/>
      <c r="P50" s="42"/>
      <c r="Q50" s="42"/>
      <c r="R50" s="42"/>
      <c r="S50" s="42"/>
      <c r="T50" s="42"/>
      <c r="U50" s="42"/>
      <c r="V50" s="42"/>
      <c r="W50" s="42"/>
      <c r="X50" s="42"/>
      <c r="Y50" s="42"/>
      <c r="Z50" s="42"/>
      <c r="AA50" s="42"/>
      <c r="AB50" s="42"/>
      <c r="AC50" s="42"/>
      <c r="AD50" s="42"/>
      <c r="AE50" s="42"/>
      <c r="AF50" s="42"/>
      <c r="AG50" s="42"/>
      <c r="AH50" s="42"/>
      <c r="AI50" s="42"/>
      <c r="AJ50" s="42"/>
      <c r="AK50" s="42"/>
      <c r="AL50" s="42"/>
      <c r="AM50" s="42"/>
      <c r="AN50" s="42"/>
      <c r="AO50" s="42"/>
      <c r="AP50" s="42"/>
      <c r="AQ50" s="42"/>
      <c r="AR50" s="42"/>
      <c r="AS50" s="42"/>
      <c r="AT50" s="42"/>
      <c r="AU50" s="42"/>
      <c r="AV50" s="42"/>
      <c r="AW50" s="42"/>
      <c r="AX50" s="42"/>
      <c r="AY50" s="42"/>
      <c r="AZ50" s="42"/>
      <c r="BA50" s="42"/>
      <c r="BB50" s="42"/>
    </row>
  </sheetData>
  <sheetProtection algorithmName="SHA-512" hashValue="7cohG8DNk/0Al3NrXMR8Iurxm02llzFpNNgTiozFZmsYkFX4AUhYaUw8E74b/JGc6l7tInsha1Zu7rEvaOWrqA==" saltValue="VjmtqL44UcB5Z+gIMZovuQ==" spinCount="100000" sheet="1" objects="1" scenarios="1"/>
  <mergeCells count="1">
    <mergeCell ref="A1:BC1"/>
  </mergeCells>
  <pageMargins left="0.17" right="0.17" top="0.17" bottom="0.5" header="0.17" footer="0.5"/>
  <pageSetup scale="70" fitToWidth="0" orientation="landscape" r:id="rId1"/>
  <headerFooter alignWithMargins="0"/>
  <colBreaks count="3" manualBreakCount="3">
    <brk id="15" max="48" man="1"/>
    <brk id="28" max="48" man="1"/>
    <brk id="41" max="48" man="1"/>
  </col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8">
    <tabColor rgb="FFFF0000"/>
  </sheetPr>
  <dimension ref="A1:BC50"/>
  <sheetViews>
    <sheetView workbookViewId="0">
      <selection activeCell="C22" sqref="C22"/>
    </sheetView>
  </sheetViews>
  <sheetFormatPr defaultColWidth="6.7109375" defaultRowHeight="12.75" x14ac:dyDescent="0.2"/>
  <cols>
    <col min="1" max="1" width="7.28515625" style="1" customWidth="1"/>
    <col min="2" max="2" width="53" style="1" bestFit="1" customWidth="1"/>
    <col min="3" max="3" width="9.5703125" style="3" bestFit="1" customWidth="1"/>
    <col min="4" max="53" width="9.42578125" style="1" customWidth="1"/>
    <col min="54" max="54" width="8.85546875" style="1" customWidth="1"/>
    <col min="55" max="16384" width="6.7109375" style="1"/>
  </cols>
  <sheetData>
    <row r="1" spans="1:55" ht="51" customHeight="1" x14ac:dyDescent="0.4">
      <c r="A1" s="143" t="s">
        <v>213</v>
      </c>
      <c r="B1" s="144"/>
      <c r="C1" s="144"/>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c r="AH1" s="144"/>
      <c r="AI1" s="144"/>
      <c r="AJ1" s="144"/>
      <c r="AK1" s="144"/>
      <c r="AL1" s="144"/>
      <c r="AM1" s="144"/>
      <c r="AN1" s="144"/>
      <c r="AO1" s="144"/>
      <c r="AP1" s="144"/>
      <c r="AQ1" s="144"/>
      <c r="AR1" s="144"/>
      <c r="AS1" s="144"/>
      <c r="AT1" s="144"/>
      <c r="AU1" s="144"/>
      <c r="AV1" s="144"/>
      <c r="AW1" s="144"/>
      <c r="AX1" s="144"/>
      <c r="AY1" s="144"/>
      <c r="AZ1" s="144"/>
      <c r="BA1" s="144"/>
      <c r="BB1" s="144"/>
      <c r="BC1" s="144"/>
    </row>
    <row r="2" spans="1:55" ht="13.5" thickBot="1" x14ac:dyDescent="0.25">
      <c r="A2" s="4"/>
      <c r="B2" s="7" t="s">
        <v>178</v>
      </c>
      <c r="C2" s="5">
        <v>1</v>
      </c>
      <c r="D2" s="5">
        <v>2</v>
      </c>
      <c r="E2" s="5">
        <v>3</v>
      </c>
      <c r="F2" s="5">
        <v>4</v>
      </c>
      <c r="G2" s="5">
        <v>5</v>
      </c>
      <c r="H2" s="5">
        <v>6</v>
      </c>
      <c r="I2" s="5">
        <v>7</v>
      </c>
      <c r="J2" s="5">
        <v>8</v>
      </c>
      <c r="K2" s="5">
        <v>9</v>
      </c>
      <c r="L2" s="5">
        <v>10</v>
      </c>
      <c r="M2" s="5">
        <v>11</v>
      </c>
      <c r="N2" s="5">
        <v>12</v>
      </c>
      <c r="O2" s="5">
        <v>13</v>
      </c>
      <c r="P2" s="5">
        <v>14</v>
      </c>
      <c r="Q2" s="5">
        <v>15</v>
      </c>
      <c r="R2" s="5">
        <v>16</v>
      </c>
      <c r="S2" s="5">
        <v>17</v>
      </c>
      <c r="T2" s="5">
        <v>18</v>
      </c>
      <c r="U2" s="5">
        <v>19</v>
      </c>
      <c r="V2" s="5">
        <v>20</v>
      </c>
      <c r="W2" s="5">
        <v>21</v>
      </c>
      <c r="X2" s="5">
        <v>22</v>
      </c>
      <c r="Y2" s="5">
        <v>23</v>
      </c>
      <c r="Z2" s="5">
        <v>24</v>
      </c>
      <c r="AA2" s="5">
        <v>25</v>
      </c>
      <c r="AB2" s="5">
        <v>26</v>
      </c>
      <c r="AC2" s="5">
        <v>27</v>
      </c>
      <c r="AD2" s="5">
        <v>28</v>
      </c>
      <c r="AE2" s="5">
        <v>29</v>
      </c>
      <c r="AF2" s="5">
        <v>30</v>
      </c>
      <c r="AG2" s="5">
        <v>31</v>
      </c>
      <c r="AH2" s="5">
        <v>32</v>
      </c>
      <c r="AI2" s="5">
        <v>33</v>
      </c>
      <c r="AJ2" s="5">
        <v>34</v>
      </c>
      <c r="AK2" s="5">
        <v>35</v>
      </c>
      <c r="AL2" s="5">
        <v>36</v>
      </c>
      <c r="AM2" s="5">
        <v>37</v>
      </c>
      <c r="AN2" s="5">
        <v>38</v>
      </c>
      <c r="AO2" s="5">
        <v>39</v>
      </c>
      <c r="AP2" s="5">
        <v>40</v>
      </c>
      <c r="AQ2" s="5">
        <v>41</v>
      </c>
      <c r="AR2" s="5">
        <v>42</v>
      </c>
      <c r="AS2" s="5">
        <v>43</v>
      </c>
      <c r="AT2" s="5">
        <v>44</v>
      </c>
      <c r="AU2" s="5">
        <v>45</v>
      </c>
      <c r="AV2" s="5">
        <v>46</v>
      </c>
      <c r="AW2" s="5">
        <v>47</v>
      </c>
      <c r="AX2" s="5">
        <v>48</v>
      </c>
      <c r="AY2" s="5">
        <v>49</v>
      </c>
      <c r="AZ2" s="5">
        <v>50</v>
      </c>
      <c r="BA2" s="5">
        <v>51</v>
      </c>
      <c r="BB2" s="5">
        <v>52</v>
      </c>
      <c r="BC2" s="42"/>
    </row>
    <row r="3" spans="1:55" s="2" customFormat="1" ht="24.75" thickBot="1" x14ac:dyDescent="0.25">
      <c r="A3" s="6"/>
      <c r="B3" s="50" t="s">
        <v>179</v>
      </c>
      <c r="C3" s="51">
        <v>44199</v>
      </c>
      <c r="D3" s="51">
        <v>44206</v>
      </c>
      <c r="E3" s="51">
        <v>44213</v>
      </c>
      <c r="F3" s="51">
        <v>44220</v>
      </c>
      <c r="G3" s="51">
        <v>44227</v>
      </c>
      <c r="H3" s="51">
        <v>44234</v>
      </c>
      <c r="I3" s="51">
        <v>44241</v>
      </c>
      <c r="J3" s="51">
        <v>44248</v>
      </c>
      <c r="K3" s="51">
        <v>44255</v>
      </c>
      <c r="L3" s="51">
        <v>44262</v>
      </c>
      <c r="M3" s="51">
        <v>44269</v>
      </c>
      <c r="N3" s="51">
        <v>44276</v>
      </c>
      <c r="O3" s="51">
        <v>44283</v>
      </c>
      <c r="P3" s="51">
        <v>44290</v>
      </c>
      <c r="Q3" s="51">
        <v>44297</v>
      </c>
      <c r="R3" s="51">
        <v>44304</v>
      </c>
      <c r="S3" s="51">
        <v>44311</v>
      </c>
      <c r="T3" s="51">
        <v>44318</v>
      </c>
      <c r="U3" s="51">
        <v>44325</v>
      </c>
      <c r="V3" s="51">
        <v>44332</v>
      </c>
      <c r="W3" s="51">
        <v>44339</v>
      </c>
      <c r="X3" s="51">
        <v>44346</v>
      </c>
      <c r="Y3" s="51">
        <v>44353</v>
      </c>
      <c r="Z3" s="51">
        <v>44360</v>
      </c>
      <c r="AA3" s="51">
        <v>44367</v>
      </c>
      <c r="AB3" s="51">
        <v>44374</v>
      </c>
      <c r="AC3" s="51">
        <v>44381</v>
      </c>
      <c r="AD3" s="51">
        <v>44388</v>
      </c>
      <c r="AE3" s="51">
        <v>44395</v>
      </c>
      <c r="AF3" s="51">
        <v>44402</v>
      </c>
      <c r="AG3" s="51">
        <v>44409</v>
      </c>
      <c r="AH3" s="51">
        <v>44416</v>
      </c>
      <c r="AI3" s="51">
        <v>44423</v>
      </c>
      <c r="AJ3" s="51">
        <v>44430</v>
      </c>
      <c r="AK3" s="51">
        <v>44437</v>
      </c>
      <c r="AL3" s="51">
        <v>44444</v>
      </c>
      <c r="AM3" s="51">
        <v>44451</v>
      </c>
      <c r="AN3" s="51">
        <v>44458</v>
      </c>
      <c r="AO3" s="51">
        <v>44465</v>
      </c>
      <c r="AP3" s="51">
        <v>44472</v>
      </c>
      <c r="AQ3" s="51">
        <v>44479</v>
      </c>
      <c r="AR3" s="51">
        <v>44486</v>
      </c>
      <c r="AS3" s="51">
        <v>44493</v>
      </c>
      <c r="AT3" s="51">
        <v>44500</v>
      </c>
      <c r="AU3" s="51">
        <v>44507</v>
      </c>
      <c r="AV3" s="51">
        <v>44514</v>
      </c>
      <c r="AW3" s="51">
        <v>44521</v>
      </c>
      <c r="AX3" s="51">
        <v>44528</v>
      </c>
      <c r="AY3" s="51">
        <v>44535</v>
      </c>
      <c r="AZ3" s="51">
        <v>44542</v>
      </c>
      <c r="BA3" s="51">
        <v>44549</v>
      </c>
      <c r="BB3" s="51">
        <v>44556</v>
      </c>
      <c r="BC3" s="53"/>
    </row>
    <row r="4" spans="1:55" x14ac:dyDescent="0.2">
      <c r="A4" s="9" t="s">
        <v>180</v>
      </c>
      <c r="B4" s="10"/>
      <c r="C4" s="11">
        <v>6511</v>
      </c>
      <c r="D4" s="11">
        <v>6717</v>
      </c>
      <c r="E4" s="11">
        <v>6932</v>
      </c>
      <c r="F4" s="11">
        <v>6404</v>
      </c>
      <c r="G4" s="11">
        <v>6252</v>
      </c>
      <c r="H4" s="11">
        <v>5295</v>
      </c>
      <c r="I4" s="11">
        <v>5989</v>
      </c>
      <c r="J4" s="11">
        <v>6538</v>
      </c>
      <c r="K4" s="11">
        <v>6250</v>
      </c>
      <c r="L4" s="11">
        <v>6800</v>
      </c>
      <c r="M4" s="11">
        <v>6549</v>
      </c>
      <c r="N4" s="11">
        <v>6810</v>
      </c>
      <c r="O4" s="11">
        <v>6729</v>
      </c>
      <c r="P4" s="11">
        <v>6595</v>
      </c>
      <c r="Q4" s="11">
        <v>6638</v>
      </c>
      <c r="R4" s="11">
        <v>6392</v>
      </c>
      <c r="S4" s="11">
        <v>6834</v>
      </c>
      <c r="T4" s="11">
        <v>6623</v>
      </c>
      <c r="U4" s="11">
        <v>6674</v>
      </c>
      <c r="V4" s="11">
        <v>6710</v>
      </c>
      <c r="W4" s="11">
        <v>6299</v>
      </c>
      <c r="X4" s="11">
        <v>6828</v>
      </c>
      <c r="Y4" s="11">
        <v>6429</v>
      </c>
      <c r="Z4" s="11">
        <v>6689</v>
      </c>
      <c r="AA4" s="11">
        <v>6473</v>
      </c>
      <c r="AB4" s="11">
        <v>5558</v>
      </c>
      <c r="AC4" s="11">
        <v>5295</v>
      </c>
      <c r="AD4" s="11">
        <v>5366</v>
      </c>
      <c r="AE4" s="11">
        <v>6011</v>
      </c>
      <c r="AF4" s="11">
        <v>5815</v>
      </c>
      <c r="AG4" s="11">
        <v>5676</v>
      </c>
      <c r="AH4" s="11">
        <v>6139</v>
      </c>
      <c r="AI4" s="11">
        <v>6144</v>
      </c>
      <c r="AJ4" s="11">
        <v>6161</v>
      </c>
      <c r="AK4" s="11">
        <v>6298</v>
      </c>
      <c r="AL4" s="11">
        <v>6136</v>
      </c>
      <c r="AM4" s="11">
        <v>6408</v>
      </c>
      <c r="AN4" s="11">
        <v>6105</v>
      </c>
      <c r="AO4" s="11">
        <v>6175</v>
      </c>
      <c r="AP4" s="11">
        <v>6284</v>
      </c>
      <c r="AQ4" s="11">
        <v>5913</v>
      </c>
      <c r="AR4" s="11">
        <v>6277</v>
      </c>
      <c r="AS4" s="11">
        <v>6402</v>
      </c>
      <c r="AT4" s="11">
        <v>6452</v>
      </c>
      <c r="AU4" s="11">
        <v>5679</v>
      </c>
      <c r="AV4" s="11">
        <v>6006</v>
      </c>
      <c r="AW4" s="11">
        <v>5345</v>
      </c>
      <c r="AX4" s="11">
        <v>5581</v>
      </c>
      <c r="AY4" s="11">
        <v>5396</v>
      </c>
      <c r="AZ4" s="11">
        <v>6070</v>
      </c>
      <c r="BA4" s="11">
        <v>5363</v>
      </c>
      <c r="BB4" s="11">
        <v>4594</v>
      </c>
      <c r="BC4" s="42"/>
    </row>
    <row r="5" spans="1:55" x14ac:dyDescent="0.2">
      <c r="A5" s="12"/>
      <c r="B5" s="15" t="s">
        <v>181</v>
      </c>
      <c r="C5" s="13">
        <v>2760</v>
      </c>
      <c r="D5" s="13">
        <v>2927</v>
      </c>
      <c r="E5" s="13">
        <v>2980</v>
      </c>
      <c r="F5" s="13">
        <v>2730</v>
      </c>
      <c r="G5" s="13">
        <v>2542</v>
      </c>
      <c r="H5" s="13">
        <v>2159</v>
      </c>
      <c r="I5" s="13">
        <v>2519</v>
      </c>
      <c r="J5" s="13">
        <v>2910</v>
      </c>
      <c r="K5" s="13">
        <v>2688</v>
      </c>
      <c r="L5" s="13">
        <v>2694</v>
      </c>
      <c r="M5" s="13">
        <v>2746</v>
      </c>
      <c r="N5" s="13">
        <v>2929</v>
      </c>
      <c r="O5" s="13">
        <v>2704</v>
      </c>
      <c r="P5" s="13">
        <v>2905</v>
      </c>
      <c r="Q5" s="13">
        <v>2898</v>
      </c>
      <c r="R5" s="13">
        <v>2850</v>
      </c>
      <c r="S5" s="13">
        <v>2977</v>
      </c>
      <c r="T5" s="13">
        <v>2980</v>
      </c>
      <c r="U5" s="13">
        <v>2929</v>
      </c>
      <c r="V5" s="13">
        <v>2923</v>
      </c>
      <c r="W5" s="13">
        <v>2585</v>
      </c>
      <c r="X5" s="13">
        <v>2847</v>
      </c>
      <c r="Y5" s="13">
        <v>2762</v>
      </c>
      <c r="Z5" s="13">
        <v>2877</v>
      </c>
      <c r="AA5" s="13">
        <v>2737</v>
      </c>
      <c r="AB5" s="13">
        <v>2151</v>
      </c>
      <c r="AC5" s="13">
        <v>2229</v>
      </c>
      <c r="AD5" s="13">
        <v>2403</v>
      </c>
      <c r="AE5" s="13">
        <v>2595</v>
      </c>
      <c r="AF5" s="13">
        <v>2612</v>
      </c>
      <c r="AG5" s="13">
        <v>2216</v>
      </c>
      <c r="AH5" s="13">
        <v>2561</v>
      </c>
      <c r="AI5" s="13">
        <v>2645</v>
      </c>
      <c r="AJ5" s="13">
        <v>2530</v>
      </c>
      <c r="AK5" s="13">
        <v>2581</v>
      </c>
      <c r="AL5" s="13">
        <v>2385</v>
      </c>
      <c r="AM5" s="13">
        <v>2674</v>
      </c>
      <c r="AN5" s="13">
        <v>2521</v>
      </c>
      <c r="AO5" s="13">
        <v>2667</v>
      </c>
      <c r="AP5" s="13">
        <v>2665</v>
      </c>
      <c r="AQ5" s="13">
        <v>2445</v>
      </c>
      <c r="AR5" s="13">
        <v>2619</v>
      </c>
      <c r="AS5" s="13">
        <v>2781</v>
      </c>
      <c r="AT5" s="13">
        <v>2800</v>
      </c>
      <c r="AU5" s="13">
        <v>2324</v>
      </c>
      <c r="AV5" s="13">
        <v>2561</v>
      </c>
      <c r="AW5" s="13">
        <v>2336</v>
      </c>
      <c r="AX5" s="13">
        <v>2255</v>
      </c>
      <c r="AY5" s="13">
        <v>2269</v>
      </c>
      <c r="AZ5" s="13">
        <v>2853</v>
      </c>
      <c r="BA5" s="13">
        <v>2232</v>
      </c>
      <c r="BB5" s="13">
        <v>1497</v>
      </c>
      <c r="BC5" s="42"/>
    </row>
    <row r="6" spans="1:55" x14ac:dyDescent="0.2">
      <c r="A6" s="12"/>
      <c r="B6" s="15" t="s">
        <v>182</v>
      </c>
      <c r="C6" s="13">
        <v>866</v>
      </c>
      <c r="D6" s="13">
        <v>1009</v>
      </c>
      <c r="E6" s="13">
        <v>955</v>
      </c>
      <c r="F6" s="13">
        <v>874</v>
      </c>
      <c r="G6" s="13">
        <v>809</v>
      </c>
      <c r="H6" s="13">
        <v>698</v>
      </c>
      <c r="I6" s="13">
        <v>713</v>
      </c>
      <c r="J6" s="13">
        <v>978</v>
      </c>
      <c r="K6" s="13">
        <v>836</v>
      </c>
      <c r="L6" s="13">
        <v>1267</v>
      </c>
      <c r="M6" s="13">
        <v>1060</v>
      </c>
      <c r="N6" s="13">
        <v>1036</v>
      </c>
      <c r="O6" s="13">
        <v>1190</v>
      </c>
      <c r="P6" s="13">
        <v>1037</v>
      </c>
      <c r="Q6" s="13">
        <v>1042</v>
      </c>
      <c r="R6" s="13">
        <v>980</v>
      </c>
      <c r="S6" s="13">
        <v>1061</v>
      </c>
      <c r="T6" s="13">
        <v>1062</v>
      </c>
      <c r="U6" s="13">
        <v>1060</v>
      </c>
      <c r="V6" s="13">
        <v>1132</v>
      </c>
      <c r="W6" s="13">
        <v>1050</v>
      </c>
      <c r="X6" s="13">
        <v>1132</v>
      </c>
      <c r="Y6" s="13">
        <v>1181</v>
      </c>
      <c r="Z6" s="13">
        <v>1151</v>
      </c>
      <c r="AA6" s="13">
        <v>1123</v>
      </c>
      <c r="AB6" s="13">
        <v>909</v>
      </c>
      <c r="AC6" s="13">
        <v>789</v>
      </c>
      <c r="AD6" s="13">
        <v>688</v>
      </c>
      <c r="AE6" s="13">
        <v>778</v>
      </c>
      <c r="AF6" s="13">
        <v>732</v>
      </c>
      <c r="AG6" s="13">
        <v>907</v>
      </c>
      <c r="AH6" s="13">
        <v>987</v>
      </c>
      <c r="AI6" s="13">
        <v>926</v>
      </c>
      <c r="AJ6" s="13">
        <v>979</v>
      </c>
      <c r="AK6" s="13">
        <v>1025</v>
      </c>
      <c r="AL6" s="13">
        <v>1009</v>
      </c>
      <c r="AM6" s="13">
        <v>1006</v>
      </c>
      <c r="AN6" s="13">
        <v>1078</v>
      </c>
      <c r="AO6" s="13">
        <v>928</v>
      </c>
      <c r="AP6" s="13">
        <v>1038</v>
      </c>
      <c r="AQ6" s="13">
        <v>989</v>
      </c>
      <c r="AR6" s="13">
        <v>1083</v>
      </c>
      <c r="AS6" s="13">
        <v>1046</v>
      </c>
      <c r="AT6" s="13">
        <v>1037</v>
      </c>
      <c r="AU6" s="13">
        <v>1035</v>
      </c>
      <c r="AV6" s="13">
        <v>929</v>
      </c>
      <c r="AW6" s="13">
        <v>852</v>
      </c>
      <c r="AX6" s="13">
        <v>883</v>
      </c>
      <c r="AY6" s="13">
        <v>862</v>
      </c>
      <c r="AZ6" s="13">
        <v>752</v>
      </c>
      <c r="BA6" s="13">
        <v>652</v>
      </c>
      <c r="BB6" s="13">
        <v>426</v>
      </c>
      <c r="BC6" s="42"/>
    </row>
    <row r="7" spans="1:55" x14ac:dyDescent="0.2">
      <c r="A7" s="12"/>
      <c r="B7" s="15" t="s">
        <v>183</v>
      </c>
      <c r="C7" s="13">
        <v>2885</v>
      </c>
      <c r="D7" s="13">
        <v>2781</v>
      </c>
      <c r="E7" s="13">
        <v>2997</v>
      </c>
      <c r="F7" s="13">
        <v>2800</v>
      </c>
      <c r="G7" s="13">
        <v>2901</v>
      </c>
      <c r="H7" s="13">
        <v>2438</v>
      </c>
      <c r="I7" s="13">
        <v>2757</v>
      </c>
      <c r="J7" s="13">
        <v>2650</v>
      </c>
      <c r="K7" s="13">
        <v>2726</v>
      </c>
      <c r="L7" s="13">
        <v>2839</v>
      </c>
      <c r="M7" s="13">
        <v>2743</v>
      </c>
      <c r="N7" s="13">
        <v>2845</v>
      </c>
      <c r="O7" s="13">
        <v>2835</v>
      </c>
      <c r="P7" s="13">
        <v>2653</v>
      </c>
      <c r="Q7" s="13">
        <v>2698</v>
      </c>
      <c r="R7" s="13">
        <v>2562</v>
      </c>
      <c r="S7" s="13">
        <v>2796</v>
      </c>
      <c r="T7" s="13">
        <v>2581</v>
      </c>
      <c r="U7" s="13">
        <v>2685</v>
      </c>
      <c r="V7" s="13">
        <v>2655</v>
      </c>
      <c r="W7" s="13">
        <v>2664</v>
      </c>
      <c r="X7" s="13">
        <v>2849</v>
      </c>
      <c r="Y7" s="13">
        <v>2486</v>
      </c>
      <c r="Z7" s="13">
        <v>2661</v>
      </c>
      <c r="AA7" s="13">
        <v>2613</v>
      </c>
      <c r="AB7" s="13">
        <v>2498</v>
      </c>
      <c r="AC7" s="13">
        <v>2277</v>
      </c>
      <c r="AD7" s="13">
        <v>2275</v>
      </c>
      <c r="AE7" s="13">
        <v>2638</v>
      </c>
      <c r="AF7" s="13">
        <v>2471</v>
      </c>
      <c r="AG7" s="13">
        <v>2553</v>
      </c>
      <c r="AH7" s="13">
        <v>2591</v>
      </c>
      <c r="AI7" s="13">
        <v>2573</v>
      </c>
      <c r="AJ7" s="13">
        <v>2652</v>
      </c>
      <c r="AK7" s="13">
        <v>2692</v>
      </c>
      <c r="AL7" s="13">
        <v>2742</v>
      </c>
      <c r="AM7" s="13">
        <v>2728</v>
      </c>
      <c r="AN7" s="13">
        <v>2506</v>
      </c>
      <c r="AO7" s="13">
        <v>2580</v>
      </c>
      <c r="AP7" s="13">
        <v>2581</v>
      </c>
      <c r="AQ7" s="13">
        <v>2479</v>
      </c>
      <c r="AR7" s="13">
        <v>2575</v>
      </c>
      <c r="AS7" s="13">
        <v>2575</v>
      </c>
      <c r="AT7" s="13">
        <v>2615</v>
      </c>
      <c r="AU7" s="13">
        <v>2320</v>
      </c>
      <c r="AV7" s="13">
        <v>2516</v>
      </c>
      <c r="AW7" s="13">
        <v>2157</v>
      </c>
      <c r="AX7" s="13">
        <v>2443</v>
      </c>
      <c r="AY7" s="13">
        <v>2265</v>
      </c>
      <c r="AZ7" s="13">
        <v>2465</v>
      </c>
      <c r="BA7" s="13">
        <v>2479</v>
      </c>
      <c r="BB7" s="13">
        <v>2671</v>
      </c>
      <c r="BC7" s="42"/>
    </row>
    <row r="8" spans="1:55" x14ac:dyDescent="0.2">
      <c r="A8" s="12"/>
      <c r="B8" s="15"/>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42"/>
    </row>
    <row r="9" spans="1:55" x14ac:dyDescent="0.2">
      <c r="A9" s="16" t="s">
        <v>184</v>
      </c>
      <c r="B9" s="12"/>
      <c r="C9" s="11">
        <v>15814</v>
      </c>
      <c r="D9" s="11">
        <v>16101</v>
      </c>
      <c r="E9" s="11">
        <v>16235</v>
      </c>
      <c r="F9" s="11">
        <v>15730</v>
      </c>
      <c r="G9" s="11">
        <v>15198</v>
      </c>
      <c r="H9" s="11">
        <v>13690</v>
      </c>
      <c r="I9" s="11">
        <v>13384</v>
      </c>
      <c r="J9" s="11">
        <v>15612</v>
      </c>
      <c r="K9" s="11">
        <v>15855</v>
      </c>
      <c r="L9" s="11">
        <v>16063</v>
      </c>
      <c r="M9" s="11">
        <v>16204</v>
      </c>
      <c r="N9" s="11">
        <v>15251</v>
      </c>
      <c r="O9" s="11">
        <v>14017</v>
      </c>
      <c r="P9" s="11">
        <v>15267</v>
      </c>
      <c r="Q9" s="11">
        <v>15185</v>
      </c>
      <c r="R9" s="11">
        <v>15772</v>
      </c>
      <c r="S9" s="11">
        <v>15072</v>
      </c>
      <c r="T9" s="11">
        <v>15692</v>
      </c>
      <c r="U9" s="11">
        <v>15095</v>
      </c>
      <c r="V9" s="11">
        <v>15278</v>
      </c>
      <c r="W9" s="11">
        <v>14334</v>
      </c>
      <c r="X9" s="11">
        <v>14861</v>
      </c>
      <c r="Y9" s="11">
        <v>14182</v>
      </c>
      <c r="Z9" s="11">
        <v>14911</v>
      </c>
      <c r="AA9" s="11">
        <v>14167</v>
      </c>
      <c r="AB9" s="11">
        <v>13769</v>
      </c>
      <c r="AC9" s="11">
        <v>14172</v>
      </c>
      <c r="AD9" s="11">
        <v>13836</v>
      </c>
      <c r="AE9" s="11">
        <v>15155</v>
      </c>
      <c r="AF9" s="11">
        <v>15227</v>
      </c>
      <c r="AG9" s="11">
        <v>15283</v>
      </c>
      <c r="AH9" s="11">
        <v>15131</v>
      </c>
      <c r="AI9" s="11">
        <v>15034</v>
      </c>
      <c r="AJ9" s="11">
        <v>14808</v>
      </c>
      <c r="AK9" s="11">
        <v>13532</v>
      </c>
      <c r="AL9" s="11">
        <v>13960</v>
      </c>
      <c r="AM9" s="11">
        <v>14710</v>
      </c>
      <c r="AN9" s="11">
        <v>14591</v>
      </c>
      <c r="AO9" s="11">
        <v>14848</v>
      </c>
      <c r="AP9" s="11">
        <v>15045</v>
      </c>
      <c r="AQ9" s="11">
        <v>15271</v>
      </c>
      <c r="AR9" s="11">
        <v>15506</v>
      </c>
      <c r="AS9" s="11">
        <v>15302</v>
      </c>
      <c r="AT9" s="11">
        <v>16438</v>
      </c>
      <c r="AU9" s="11">
        <v>15546</v>
      </c>
      <c r="AV9" s="11">
        <v>14829</v>
      </c>
      <c r="AW9" s="11">
        <v>14309</v>
      </c>
      <c r="AX9" s="11">
        <v>15541</v>
      </c>
      <c r="AY9" s="11">
        <v>15547</v>
      </c>
      <c r="AZ9" s="11">
        <v>16231</v>
      </c>
      <c r="BA9" s="11">
        <v>14604</v>
      </c>
      <c r="BB9" s="11">
        <v>13200</v>
      </c>
      <c r="BC9" s="42"/>
    </row>
    <row r="10" spans="1:55" x14ac:dyDescent="0.2">
      <c r="A10" s="12"/>
      <c r="B10" s="15" t="s">
        <v>185</v>
      </c>
      <c r="C10" s="13">
        <v>8772</v>
      </c>
      <c r="D10" s="13">
        <v>9185</v>
      </c>
      <c r="E10" s="13">
        <v>9072</v>
      </c>
      <c r="F10" s="13">
        <v>9011</v>
      </c>
      <c r="G10" s="13">
        <v>8747</v>
      </c>
      <c r="H10" s="13">
        <v>8157</v>
      </c>
      <c r="I10" s="13">
        <v>7020</v>
      </c>
      <c r="J10" s="13">
        <v>8804</v>
      </c>
      <c r="K10" s="13">
        <v>8781</v>
      </c>
      <c r="L10" s="13">
        <v>9061</v>
      </c>
      <c r="M10" s="13">
        <v>9917</v>
      </c>
      <c r="N10" s="13">
        <v>9109</v>
      </c>
      <c r="O10" s="13">
        <v>8705</v>
      </c>
      <c r="P10" s="13">
        <v>9437</v>
      </c>
      <c r="Q10" s="13">
        <v>9143</v>
      </c>
      <c r="R10" s="13">
        <v>9649</v>
      </c>
      <c r="S10" s="13">
        <v>9109</v>
      </c>
      <c r="T10" s="13">
        <v>9666</v>
      </c>
      <c r="U10" s="13">
        <v>9299</v>
      </c>
      <c r="V10" s="13">
        <v>9399</v>
      </c>
      <c r="W10" s="13">
        <v>8715</v>
      </c>
      <c r="X10" s="13">
        <v>8944</v>
      </c>
      <c r="Y10" s="13">
        <v>8821</v>
      </c>
      <c r="Z10" s="13">
        <v>8847</v>
      </c>
      <c r="AA10" s="13">
        <v>8265</v>
      </c>
      <c r="AB10" s="13">
        <v>7877</v>
      </c>
      <c r="AC10" s="13">
        <v>8849</v>
      </c>
      <c r="AD10" s="13">
        <v>8151</v>
      </c>
      <c r="AE10" s="13">
        <v>9000</v>
      </c>
      <c r="AF10" s="13">
        <v>8974</v>
      </c>
      <c r="AG10" s="13">
        <v>8992</v>
      </c>
      <c r="AH10" s="13">
        <v>8883</v>
      </c>
      <c r="AI10" s="13">
        <v>8485</v>
      </c>
      <c r="AJ10" s="13">
        <v>8133</v>
      </c>
      <c r="AK10" s="13">
        <v>6911</v>
      </c>
      <c r="AL10" s="13">
        <v>7260</v>
      </c>
      <c r="AM10" s="13">
        <v>8304</v>
      </c>
      <c r="AN10" s="13">
        <v>7517</v>
      </c>
      <c r="AO10" s="13">
        <v>8123</v>
      </c>
      <c r="AP10" s="13">
        <v>8245</v>
      </c>
      <c r="AQ10" s="13">
        <v>8264</v>
      </c>
      <c r="AR10" s="13">
        <v>8248</v>
      </c>
      <c r="AS10" s="13">
        <v>8361</v>
      </c>
      <c r="AT10" s="13">
        <v>8777</v>
      </c>
      <c r="AU10" s="13">
        <v>8552</v>
      </c>
      <c r="AV10" s="13">
        <v>8579</v>
      </c>
      <c r="AW10" s="13">
        <v>8272</v>
      </c>
      <c r="AX10" s="13">
        <v>8931</v>
      </c>
      <c r="AY10" s="13">
        <v>9034</v>
      </c>
      <c r="AZ10" s="13">
        <v>9375</v>
      </c>
      <c r="BA10" s="13">
        <v>7649</v>
      </c>
      <c r="BB10" s="13">
        <v>7609</v>
      </c>
      <c r="BC10" s="42"/>
    </row>
    <row r="11" spans="1:55" x14ac:dyDescent="0.2">
      <c r="A11" s="12"/>
      <c r="B11" s="15" t="s">
        <v>186</v>
      </c>
      <c r="C11" s="13">
        <v>5996</v>
      </c>
      <c r="D11" s="13">
        <v>5785</v>
      </c>
      <c r="E11" s="13">
        <v>6185</v>
      </c>
      <c r="F11" s="13">
        <v>5639</v>
      </c>
      <c r="G11" s="13">
        <v>5583</v>
      </c>
      <c r="H11" s="13">
        <v>4976</v>
      </c>
      <c r="I11" s="13">
        <v>5141</v>
      </c>
      <c r="J11" s="13">
        <v>5785</v>
      </c>
      <c r="K11" s="13">
        <v>6033</v>
      </c>
      <c r="L11" s="13">
        <v>5847</v>
      </c>
      <c r="M11" s="13">
        <v>4912</v>
      </c>
      <c r="N11" s="13">
        <v>4932</v>
      </c>
      <c r="O11" s="13">
        <v>4324</v>
      </c>
      <c r="P11" s="13">
        <v>4422</v>
      </c>
      <c r="Q11" s="13">
        <v>4992</v>
      </c>
      <c r="R11" s="13">
        <v>4984</v>
      </c>
      <c r="S11" s="13">
        <v>4724</v>
      </c>
      <c r="T11" s="13">
        <v>5075</v>
      </c>
      <c r="U11" s="13">
        <v>4827</v>
      </c>
      <c r="V11" s="13">
        <v>4967</v>
      </c>
      <c r="W11" s="13">
        <v>4883</v>
      </c>
      <c r="X11" s="13">
        <v>4891</v>
      </c>
      <c r="Y11" s="13">
        <v>4740</v>
      </c>
      <c r="Z11" s="13">
        <v>5421</v>
      </c>
      <c r="AA11" s="13">
        <v>5311</v>
      </c>
      <c r="AB11" s="13">
        <v>5179</v>
      </c>
      <c r="AC11" s="13">
        <v>4581</v>
      </c>
      <c r="AD11" s="13">
        <v>4973</v>
      </c>
      <c r="AE11" s="13">
        <v>5350</v>
      </c>
      <c r="AF11" s="13">
        <v>5244</v>
      </c>
      <c r="AG11" s="13">
        <v>5506</v>
      </c>
      <c r="AH11" s="13">
        <v>5139</v>
      </c>
      <c r="AI11" s="13">
        <v>5726</v>
      </c>
      <c r="AJ11" s="13">
        <v>5821</v>
      </c>
      <c r="AK11" s="13">
        <v>5577</v>
      </c>
      <c r="AL11" s="13">
        <v>5826</v>
      </c>
      <c r="AM11" s="13">
        <v>5374</v>
      </c>
      <c r="AN11" s="13">
        <v>6221</v>
      </c>
      <c r="AO11" s="13">
        <v>5699</v>
      </c>
      <c r="AP11" s="13">
        <v>5671</v>
      </c>
      <c r="AQ11" s="13">
        <v>5934</v>
      </c>
      <c r="AR11" s="13">
        <v>5945</v>
      </c>
      <c r="AS11" s="13">
        <v>5995</v>
      </c>
      <c r="AT11" s="13">
        <v>6470</v>
      </c>
      <c r="AU11" s="13">
        <v>5894</v>
      </c>
      <c r="AV11" s="13">
        <v>5302</v>
      </c>
      <c r="AW11" s="13">
        <v>5225</v>
      </c>
      <c r="AX11" s="13">
        <v>5487</v>
      </c>
      <c r="AY11" s="13">
        <v>5770</v>
      </c>
      <c r="AZ11" s="13">
        <v>5750</v>
      </c>
      <c r="BA11" s="13">
        <v>5986</v>
      </c>
      <c r="BB11" s="13">
        <v>4972</v>
      </c>
      <c r="BC11" s="42"/>
    </row>
    <row r="12" spans="1:55" x14ac:dyDescent="0.2">
      <c r="A12" s="12"/>
      <c r="B12" s="15" t="s">
        <v>187</v>
      </c>
      <c r="C12" s="13">
        <v>1046</v>
      </c>
      <c r="D12" s="13">
        <v>1131</v>
      </c>
      <c r="E12" s="13">
        <v>978</v>
      </c>
      <c r="F12" s="13">
        <v>1080</v>
      </c>
      <c r="G12" s="13">
        <v>868</v>
      </c>
      <c r="H12" s="13">
        <v>557</v>
      </c>
      <c r="I12" s="13">
        <v>1223</v>
      </c>
      <c r="J12" s="13">
        <v>1023</v>
      </c>
      <c r="K12" s="13">
        <v>1041</v>
      </c>
      <c r="L12" s="13">
        <v>1155</v>
      </c>
      <c r="M12" s="13">
        <v>1375</v>
      </c>
      <c r="N12" s="13">
        <v>1210</v>
      </c>
      <c r="O12" s="13">
        <v>988</v>
      </c>
      <c r="P12" s="13">
        <v>1408</v>
      </c>
      <c r="Q12" s="13">
        <v>1050</v>
      </c>
      <c r="R12" s="13">
        <v>1139</v>
      </c>
      <c r="S12" s="13">
        <v>1239</v>
      </c>
      <c r="T12" s="13">
        <v>951</v>
      </c>
      <c r="U12" s="13">
        <v>969</v>
      </c>
      <c r="V12" s="13">
        <v>912</v>
      </c>
      <c r="W12" s="13">
        <v>736</v>
      </c>
      <c r="X12" s="13">
        <v>1026</v>
      </c>
      <c r="Y12" s="13">
        <v>621</v>
      </c>
      <c r="Z12" s="13">
        <v>643</v>
      </c>
      <c r="AA12" s="13">
        <v>591</v>
      </c>
      <c r="AB12" s="13">
        <v>713</v>
      </c>
      <c r="AC12" s="13">
        <v>742</v>
      </c>
      <c r="AD12" s="13">
        <v>712</v>
      </c>
      <c r="AE12" s="13">
        <v>805</v>
      </c>
      <c r="AF12" s="13">
        <v>1009</v>
      </c>
      <c r="AG12" s="13">
        <v>785</v>
      </c>
      <c r="AH12" s="13">
        <v>1109</v>
      </c>
      <c r="AI12" s="13">
        <v>823</v>
      </c>
      <c r="AJ12" s="13">
        <v>854</v>
      </c>
      <c r="AK12" s="13">
        <v>1044</v>
      </c>
      <c r="AL12" s="13">
        <v>874</v>
      </c>
      <c r="AM12" s="13">
        <v>1032</v>
      </c>
      <c r="AN12" s="13">
        <v>853</v>
      </c>
      <c r="AO12" s="13">
        <v>1026</v>
      </c>
      <c r="AP12" s="13">
        <v>1129</v>
      </c>
      <c r="AQ12" s="13">
        <v>1073</v>
      </c>
      <c r="AR12" s="13">
        <v>1313</v>
      </c>
      <c r="AS12" s="13">
        <v>946</v>
      </c>
      <c r="AT12" s="13">
        <v>1191</v>
      </c>
      <c r="AU12" s="13">
        <v>1100</v>
      </c>
      <c r="AV12" s="13">
        <v>948</v>
      </c>
      <c r="AW12" s="13">
        <v>812</v>
      </c>
      <c r="AX12" s="13">
        <v>1123</v>
      </c>
      <c r="AY12" s="13">
        <v>743</v>
      </c>
      <c r="AZ12" s="13">
        <v>1106</v>
      </c>
      <c r="BA12" s="13">
        <v>969</v>
      </c>
      <c r="BB12" s="13">
        <v>619</v>
      </c>
      <c r="BC12" s="42"/>
    </row>
    <row r="13" spans="1:55" x14ac:dyDescent="0.2">
      <c r="A13" s="12"/>
      <c r="B13" s="15"/>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c r="BC13" s="42"/>
    </row>
    <row r="14" spans="1:55" x14ac:dyDescent="0.2">
      <c r="A14" s="9" t="s">
        <v>188</v>
      </c>
      <c r="B14" s="17"/>
      <c r="C14" s="11">
        <v>14071</v>
      </c>
      <c r="D14" s="11">
        <v>20279</v>
      </c>
      <c r="E14" s="11">
        <v>14989</v>
      </c>
      <c r="F14" s="11">
        <v>15877</v>
      </c>
      <c r="G14" s="11">
        <v>16719</v>
      </c>
      <c r="H14" s="11">
        <v>15442</v>
      </c>
      <c r="I14" s="11">
        <v>13770</v>
      </c>
      <c r="J14" s="11">
        <v>15902</v>
      </c>
      <c r="K14" s="11">
        <v>16791</v>
      </c>
      <c r="L14" s="11">
        <v>16338</v>
      </c>
      <c r="M14" s="11">
        <v>15844</v>
      </c>
      <c r="N14" s="11">
        <v>15541</v>
      </c>
      <c r="O14" s="11">
        <v>16945</v>
      </c>
      <c r="P14" s="11">
        <v>17552</v>
      </c>
      <c r="Q14" s="11">
        <v>17688</v>
      </c>
      <c r="R14" s="11">
        <v>17086</v>
      </c>
      <c r="S14" s="11">
        <v>16034</v>
      </c>
      <c r="T14" s="11">
        <v>16648</v>
      </c>
      <c r="U14" s="11">
        <v>16264</v>
      </c>
      <c r="V14" s="11">
        <v>15794</v>
      </c>
      <c r="W14" s="11">
        <v>17515</v>
      </c>
      <c r="X14" s="11">
        <v>16706</v>
      </c>
      <c r="Y14" s="11">
        <v>17343</v>
      </c>
      <c r="Z14" s="11">
        <v>16121</v>
      </c>
      <c r="AA14" s="11">
        <v>18665</v>
      </c>
      <c r="AB14" s="11">
        <v>18828</v>
      </c>
      <c r="AC14" s="11">
        <v>18621</v>
      </c>
      <c r="AD14" s="11">
        <v>19734</v>
      </c>
      <c r="AE14" s="11">
        <v>17469</v>
      </c>
      <c r="AF14" s="11">
        <v>19154</v>
      </c>
      <c r="AG14" s="11">
        <v>19359</v>
      </c>
      <c r="AH14" s="11">
        <v>18993</v>
      </c>
      <c r="AI14" s="11">
        <v>18762</v>
      </c>
      <c r="AJ14" s="11">
        <v>18955</v>
      </c>
      <c r="AK14" s="11">
        <v>17693</v>
      </c>
      <c r="AL14" s="11">
        <v>19090</v>
      </c>
      <c r="AM14" s="11">
        <v>18846</v>
      </c>
      <c r="AN14" s="11">
        <v>19275</v>
      </c>
      <c r="AO14" s="11">
        <v>19509</v>
      </c>
      <c r="AP14" s="11">
        <v>14516</v>
      </c>
      <c r="AQ14" s="11">
        <v>18367</v>
      </c>
      <c r="AR14" s="11">
        <v>18522</v>
      </c>
      <c r="AS14" s="11">
        <v>17804</v>
      </c>
      <c r="AT14" s="11">
        <v>17641</v>
      </c>
      <c r="AU14" s="11">
        <v>17314</v>
      </c>
      <c r="AV14" s="11">
        <v>17955</v>
      </c>
      <c r="AW14" s="11">
        <v>17130</v>
      </c>
      <c r="AX14" s="11">
        <v>16962</v>
      </c>
      <c r="AY14" s="11">
        <v>14729</v>
      </c>
      <c r="AZ14" s="11">
        <v>14912</v>
      </c>
      <c r="BA14" s="11">
        <v>15518</v>
      </c>
      <c r="BB14" s="11">
        <v>14806</v>
      </c>
      <c r="BC14" s="42"/>
    </row>
    <row r="15" spans="1:55" x14ac:dyDescent="0.2">
      <c r="A15" s="12"/>
      <c r="B15" s="15" t="s">
        <v>189</v>
      </c>
      <c r="C15" s="13">
        <v>2098</v>
      </c>
      <c r="D15" s="13">
        <v>2371</v>
      </c>
      <c r="E15" s="13">
        <v>2573</v>
      </c>
      <c r="F15" s="13">
        <v>2202</v>
      </c>
      <c r="G15" s="13">
        <v>2287</v>
      </c>
      <c r="H15" s="13">
        <v>1610</v>
      </c>
      <c r="I15" s="13">
        <v>1644</v>
      </c>
      <c r="J15" s="13">
        <v>1839</v>
      </c>
      <c r="K15" s="13">
        <v>1958</v>
      </c>
      <c r="L15" s="13">
        <v>2159</v>
      </c>
      <c r="M15" s="13">
        <v>1713</v>
      </c>
      <c r="N15" s="13">
        <v>2289</v>
      </c>
      <c r="O15" s="13">
        <v>2423</v>
      </c>
      <c r="P15" s="13">
        <v>2959</v>
      </c>
      <c r="Q15" s="13">
        <v>2377</v>
      </c>
      <c r="R15" s="13">
        <v>2352</v>
      </c>
      <c r="S15" s="13">
        <v>2031</v>
      </c>
      <c r="T15" s="13">
        <v>2244</v>
      </c>
      <c r="U15" s="13">
        <v>2451</v>
      </c>
      <c r="V15" s="13">
        <v>2482</v>
      </c>
      <c r="W15" s="13">
        <v>2673</v>
      </c>
      <c r="X15" s="13">
        <v>2572</v>
      </c>
      <c r="Y15" s="13">
        <v>2229</v>
      </c>
      <c r="Z15" s="13">
        <v>2230</v>
      </c>
      <c r="AA15" s="13">
        <v>2803</v>
      </c>
      <c r="AB15" s="13">
        <v>2533</v>
      </c>
      <c r="AC15" s="13">
        <v>3404</v>
      </c>
      <c r="AD15" s="13">
        <v>3166</v>
      </c>
      <c r="AE15" s="13">
        <v>2969</v>
      </c>
      <c r="AF15" s="13">
        <v>2786</v>
      </c>
      <c r="AG15" s="13">
        <v>3054</v>
      </c>
      <c r="AH15" s="13">
        <v>3204</v>
      </c>
      <c r="AI15" s="13">
        <v>2578</v>
      </c>
      <c r="AJ15" s="13">
        <v>2570</v>
      </c>
      <c r="AK15" s="13">
        <v>2438</v>
      </c>
      <c r="AL15" s="13">
        <v>2463</v>
      </c>
      <c r="AM15" s="13">
        <v>2586</v>
      </c>
      <c r="AN15" s="13">
        <v>2713</v>
      </c>
      <c r="AO15" s="13">
        <v>2849</v>
      </c>
      <c r="AP15" s="13">
        <v>2779</v>
      </c>
      <c r="AQ15" s="13">
        <v>2996</v>
      </c>
      <c r="AR15" s="13">
        <v>2971</v>
      </c>
      <c r="AS15" s="13">
        <v>2395</v>
      </c>
      <c r="AT15" s="13">
        <v>2389</v>
      </c>
      <c r="AU15" s="13">
        <v>1944</v>
      </c>
      <c r="AV15" s="13">
        <v>1870</v>
      </c>
      <c r="AW15" s="13">
        <v>1969</v>
      </c>
      <c r="AX15" s="13">
        <v>2447</v>
      </c>
      <c r="AY15" s="13">
        <v>2003</v>
      </c>
      <c r="AZ15" s="13">
        <v>2063</v>
      </c>
      <c r="BA15" s="13">
        <v>1795</v>
      </c>
      <c r="BB15" s="13">
        <v>1784</v>
      </c>
      <c r="BC15" s="42"/>
    </row>
    <row r="16" spans="1:55" x14ac:dyDescent="0.2">
      <c r="A16" s="12"/>
      <c r="B16" s="15" t="s">
        <v>190</v>
      </c>
      <c r="C16" s="13">
        <v>1595</v>
      </c>
      <c r="D16" s="13">
        <v>1526</v>
      </c>
      <c r="E16" s="13">
        <v>1607</v>
      </c>
      <c r="F16" s="13">
        <v>2010</v>
      </c>
      <c r="G16" s="13">
        <v>1754</v>
      </c>
      <c r="H16" s="13">
        <v>1761</v>
      </c>
      <c r="I16" s="13">
        <v>1478</v>
      </c>
      <c r="J16" s="13">
        <v>1864</v>
      </c>
      <c r="K16" s="13">
        <v>1951</v>
      </c>
      <c r="L16" s="13">
        <v>1778</v>
      </c>
      <c r="M16" s="13">
        <v>1671</v>
      </c>
      <c r="N16" s="13">
        <v>1907</v>
      </c>
      <c r="O16" s="13">
        <v>1901</v>
      </c>
      <c r="P16" s="13">
        <v>1713</v>
      </c>
      <c r="Q16" s="13">
        <v>1628</v>
      </c>
      <c r="R16" s="13">
        <v>1610</v>
      </c>
      <c r="S16" s="13">
        <v>1645</v>
      </c>
      <c r="T16" s="13">
        <v>1477</v>
      </c>
      <c r="U16" s="13">
        <v>1470</v>
      </c>
      <c r="V16" s="13">
        <v>1413</v>
      </c>
      <c r="W16" s="13">
        <v>1786</v>
      </c>
      <c r="X16" s="13">
        <v>1800</v>
      </c>
      <c r="Y16" s="13">
        <v>1478</v>
      </c>
      <c r="Z16" s="13">
        <v>1528</v>
      </c>
      <c r="AA16" s="13">
        <v>1554</v>
      </c>
      <c r="AB16" s="13">
        <v>1782</v>
      </c>
      <c r="AC16" s="13">
        <v>1690</v>
      </c>
      <c r="AD16" s="13">
        <v>1498</v>
      </c>
      <c r="AE16" s="13">
        <v>1648</v>
      </c>
      <c r="AF16" s="13">
        <v>1743</v>
      </c>
      <c r="AG16" s="13">
        <v>1632</v>
      </c>
      <c r="AH16" s="13">
        <v>1566</v>
      </c>
      <c r="AI16" s="13">
        <v>1668</v>
      </c>
      <c r="AJ16" s="13">
        <v>1684</v>
      </c>
      <c r="AK16" s="13">
        <v>1442</v>
      </c>
      <c r="AL16" s="13">
        <v>1689</v>
      </c>
      <c r="AM16" s="13">
        <v>1655</v>
      </c>
      <c r="AN16" s="13">
        <v>1709</v>
      </c>
      <c r="AO16" s="13">
        <v>1954</v>
      </c>
      <c r="AP16" s="13">
        <v>1423</v>
      </c>
      <c r="AQ16" s="13">
        <v>1404</v>
      </c>
      <c r="AR16" s="13">
        <v>1715</v>
      </c>
      <c r="AS16" s="13">
        <v>1596</v>
      </c>
      <c r="AT16" s="13">
        <v>1400</v>
      </c>
      <c r="AU16" s="13">
        <v>1355</v>
      </c>
      <c r="AV16" s="13">
        <v>1476</v>
      </c>
      <c r="AW16" s="13">
        <v>1332</v>
      </c>
      <c r="AX16" s="13">
        <v>1688</v>
      </c>
      <c r="AY16" s="13">
        <v>1409</v>
      </c>
      <c r="AZ16" s="13">
        <v>1653</v>
      </c>
      <c r="BA16" s="13">
        <v>1684</v>
      </c>
      <c r="BB16" s="13">
        <v>1559</v>
      </c>
      <c r="BC16" s="42"/>
    </row>
    <row r="17" spans="1:54" x14ac:dyDescent="0.2">
      <c r="A17" s="12"/>
      <c r="B17" s="15" t="s">
        <v>191</v>
      </c>
      <c r="C17" s="13">
        <v>8752</v>
      </c>
      <c r="D17" s="13">
        <v>14561</v>
      </c>
      <c r="E17" s="13">
        <v>9057</v>
      </c>
      <c r="F17" s="13">
        <v>9921</v>
      </c>
      <c r="G17" s="13">
        <v>11093</v>
      </c>
      <c r="H17" s="13">
        <v>10634</v>
      </c>
      <c r="I17" s="13">
        <v>9169</v>
      </c>
      <c r="J17" s="13">
        <v>10576</v>
      </c>
      <c r="K17" s="13">
        <v>11263</v>
      </c>
      <c r="L17" s="13">
        <v>10694</v>
      </c>
      <c r="M17" s="13">
        <v>10818</v>
      </c>
      <c r="N17" s="13">
        <v>9616</v>
      </c>
      <c r="O17" s="13">
        <v>10992</v>
      </c>
      <c r="P17" s="13">
        <v>11207</v>
      </c>
      <c r="Q17" s="13">
        <v>11801</v>
      </c>
      <c r="R17" s="13">
        <v>11305</v>
      </c>
      <c r="S17" s="13">
        <v>10552</v>
      </c>
      <c r="T17" s="13">
        <v>11170</v>
      </c>
      <c r="U17" s="13">
        <v>10591</v>
      </c>
      <c r="V17" s="13">
        <v>10131</v>
      </c>
      <c r="W17" s="13">
        <v>11356</v>
      </c>
      <c r="X17" s="13">
        <v>10595</v>
      </c>
      <c r="Y17" s="13">
        <v>11837</v>
      </c>
      <c r="Z17" s="13">
        <v>10619</v>
      </c>
      <c r="AA17" s="13">
        <v>12576</v>
      </c>
      <c r="AB17" s="13">
        <v>13022</v>
      </c>
      <c r="AC17" s="13">
        <v>12015</v>
      </c>
      <c r="AD17" s="13">
        <v>13314</v>
      </c>
      <c r="AE17" s="13">
        <v>11059</v>
      </c>
      <c r="AF17" s="13">
        <v>12759</v>
      </c>
      <c r="AG17" s="13">
        <v>12961</v>
      </c>
      <c r="AH17" s="13">
        <v>12418</v>
      </c>
      <c r="AI17" s="13">
        <v>12715</v>
      </c>
      <c r="AJ17" s="13">
        <v>12784</v>
      </c>
      <c r="AK17" s="13">
        <v>11984</v>
      </c>
      <c r="AL17" s="13">
        <v>13230</v>
      </c>
      <c r="AM17" s="13">
        <v>12909</v>
      </c>
      <c r="AN17" s="13">
        <v>12973</v>
      </c>
      <c r="AO17" s="13">
        <v>12830</v>
      </c>
      <c r="AP17" s="13">
        <v>8446</v>
      </c>
      <c r="AQ17" s="13">
        <v>12179</v>
      </c>
      <c r="AR17" s="13">
        <v>11994</v>
      </c>
      <c r="AS17" s="13">
        <v>11883</v>
      </c>
      <c r="AT17" s="13">
        <v>11994</v>
      </c>
      <c r="AU17" s="13">
        <v>12185</v>
      </c>
      <c r="AV17" s="13">
        <v>12644</v>
      </c>
      <c r="AW17" s="13">
        <v>12117</v>
      </c>
      <c r="AX17" s="13">
        <v>11103</v>
      </c>
      <c r="AY17" s="13">
        <v>9689</v>
      </c>
      <c r="AZ17" s="13">
        <v>9629</v>
      </c>
      <c r="BA17" s="13">
        <v>10732</v>
      </c>
      <c r="BB17" s="13">
        <v>10333</v>
      </c>
    </row>
    <row r="18" spans="1:54" x14ac:dyDescent="0.2">
      <c r="A18" s="12"/>
      <c r="B18" s="15" t="s">
        <v>192</v>
      </c>
      <c r="C18" s="13">
        <v>803</v>
      </c>
      <c r="D18" s="13">
        <v>877</v>
      </c>
      <c r="E18" s="13">
        <v>842</v>
      </c>
      <c r="F18" s="13">
        <v>878</v>
      </c>
      <c r="G18" s="13">
        <v>813</v>
      </c>
      <c r="H18" s="13">
        <v>688</v>
      </c>
      <c r="I18" s="13">
        <v>836</v>
      </c>
      <c r="J18" s="13">
        <v>764</v>
      </c>
      <c r="K18" s="13">
        <v>903</v>
      </c>
      <c r="L18" s="13">
        <v>940</v>
      </c>
      <c r="M18" s="13">
        <v>808</v>
      </c>
      <c r="N18" s="13">
        <v>939</v>
      </c>
      <c r="O18" s="13">
        <v>878</v>
      </c>
      <c r="P18" s="13">
        <v>905</v>
      </c>
      <c r="Q18" s="13">
        <v>1021</v>
      </c>
      <c r="R18" s="13">
        <v>909</v>
      </c>
      <c r="S18" s="13">
        <v>936</v>
      </c>
      <c r="T18" s="13">
        <v>966</v>
      </c>
      <c r="U18" s="13">
        <v>874</v>
      </c>
      <c r="V18" s="13">
        <v>910</v>
      </c>
      <c r="W18" s="13">
        <v>968</v>
      </c>
      <c r="X18" s="13">
        <v>936</v>
      </c>
      <c r="Y18" s="13">
        <v>907</v>
      </c>
      <c r="Z18" s="13">
        <v>902</v>
      </c>
      <c r="AA18" s="13">
        <v>858</v>
      </c>
      <c r="AB18" s="13">
        <v>858</v>
      </c>
      <c r="AC18" s="13">
        <v>955</v>
      </c>
      <c r="AD18" s="13">
        <v>923</v>
      </c>
      <c r="AE18" s="13">
        <v>969</v>
      </c>
      <c r="AF18" s="13">
        <v>924</v>
      </c>
      <c r="AG18" s="13">
        <v>904</v>
      </c>
      <c r="AH18" s="13">
        <v>907</v>
      </c>
      <c r="AI18" s="13">
        <v>817</v>
      </c>
      <c r="AJ18" s="13">
        <v>937</v>
      </c>
      <c r="AK18" s="13">
        <v>985</v>
      </c>
      <c r="AL18" s="13">
        <v>999</v>
      </c>
      <c r="AM18" s="13">
        <v>907</v>
      </c>
      <c r="AN18" s="13">
        <v>921</v>
      </c>
      <c r="AO18" s="13">
        <v>971</v>
      </c>
      <c r="AP18" s="13">
        <v>1009</v>
      </c>
      <c r="AQ18" s="13">
        <v>912</v>
      </c>
      <c r="AR18" s="13">
        <v>972</v>
      </c>
      <c r="AS18" s="13">
        <v>881</v>
      </c>
      <c r="AT18" s="13">
        <v>979</v>
      </c>
      <c r="AU18" s="13">
        <v>779</v>
      </c>
      <c r="AV18" s="13">
        <v>940</v>
      </c>
      <c r="AW18" s="13">
        <v>839</v>
      </c>
      <c r="AX18" s="13">
        <v>864</v>
      </c>
      <c r="AY18" s="13">
        <v>883</v>
      </c>
      <c r="AZ18" s="13">
        <v>645</v>
      </c>
      <c r="BA18" s="13">
        <v>604</v>
      </c>
      <c r="BB18" s="13">
        <v>618</v>
      </c>
    </row>
    <row r="19" spans="1:54" x14ac:dyDescent="0.2">
      <c r="A19" s="12"/>
      <c r="B19" s="15" t="s">
        <v>193</v>
      </c>
      <c r="C19" s="13">
        <v>520</v>
      </c>
      <c r="D19" s="13">
        <v>658</v>
      </c>
      <c r="E19" s="13">
        <v>675</v>
      </c>
      <c r="F19" s="13">
        <v>652</v>
      </c>
      <c r="G19" s="13">
        <v>497</v>
      </c>
      <c r="H19" s="13">
        <v>511</v>
      </c>
      <c r="I19" s="13">
        <v>519</v>
      </c>
      <c r="J19" s="13">
        <v>553</v>
      </c>
      <c r="K19" s="13">
        <v>504</v>
      </c>
      <c r="L19" s="13">
        <v>553</v>
      </c>
      <c r="M19" s="13">
        <v>524</v>
      </c>
      <c r="N19" s="13">
        <v>572</v>
      </c>
      <c r="O19" s="13">
        <v>446</v>
      </c>
      <c r="P19" s="13">
        <v>407</v>
      </c>
      <c r="Q19" s="13">
        <v>495</v>
      </c>
      <c r="R19" s="13">
        <v>562</v>
      </c>
      <c r="S19" s="13">
        <v>503</v>
      </c>
      <c r="T19" s="13">
        <v>406</v>
      </c>
      <c r="U19" s="13">
        <v>535</v>
      </c>
      <c r="V19" s="13">
        <v>503</v>
      </c>
      <c r="W19" s="13">
        <v>396</v>
      </c>
      <c r="X19" s="13">
        <v>448</v>
      </c>
      <c r="Y19" s="13">
        <v>476</v>
      </c>
      <c r="Z19" s="13">
        <v>484</v>
      </c>
      <c r="AA19" s="13">
        <v>541</v>
      </c>
      <c r="AB19" s="13">
        <v>451</v>
      </c>
      <c r="AC19" s="13">
        <v>384</v>
      </c>
      <c r="AD19" s="13">
        <v>543</v>
      </c>
      <c r="AE19" s="13">
        <v>492</v>
      </c>
      <c r="AF19" s="13">
        <v>553</v>
      </c>
      <c r="AG19" s="13">
        <v>470</v>
      </c>
      <c r="AH19" s="13">
        <v>492</v>
      </c>
      <c r="AI19" s="13">
        <v>595</v>
      </c>
      <c r="AJ19" s="13">
        <v>623</v>
      </c>
      <c r="AK19" s="13">
        <v>508</v>
      </c>
      <c r="AL19" s="13">
        <v>376</v>
      </c>
      <c r="AM19" s="13">
        <v>520</v>
      </c>
      <c r="AN19" s="13">
        <v>574</v>
      </c>
      <c r="AO19" s="13">
        <v>607</v>
      </c>
      <c r="AP19" s="13">
        <v>471</v>
      </c>
      <c r="AQ19" s="13">
        <v>471</v>
      </c>
      <c r="AR19" s="13">
        <v>525</v>
      </c>
      <c r="AS19" s="13">
        <v>678</v>
      </c>
      <c r="AT19" s="13">
        <v>485</v>
      </c>
      <c r="AU19" s="13">
        <v>635</v>
      </c>
      <c r="AV19" s="13">
        <v>641</v>
      </c>
      <c r="AW19" s="13">
        <v>583</v>
      </c>
      <c r="AX19" s="13">
        <v>556</v>
      </c>
      <c r="AY19" s="13">
        <v>470</v>
      </c>
      <c r="AZ19" s="13">
        <v>559</v>
      </c>
      <c r="BA19" s="13">
        <v>383</v>
      </c>
      <c r="BB19" s="13">
        <v>264</v>
      </c>
    </row>
    <row r="20" spans="1:54" x14ac:dyDescent="0.2">
      <c r="A20" s="42"/>
      <c r="B20" s="12" t="s">
        <v>194</v>
      </c>
      <c r="C20" s="13">
        <v>303</v>
      </c>
      <c r="D20" s="13">
        <v>286</v>
      </c>
      <c r="E20" s="13">
        <v>235</v>
      </c>
      <c r="F20" s="13">
        <v>214</v>
      </c>
      <c r="G20" s="13">
        <v>275</v>
      </c>
      <c r="H20" s="13">
        <v>238</v>
      </c>
      <c r="I20" s="13">
        <v>124</v>
      </c>
      <c r="J20" s="13">
        <v>306</v>
      </c>
      <c r="K20" s="13">
        <v>212</v>
      </c>
      <c r="L20" s="13">
        <v>214</v>
      </c>
      <c r="M20" s="13">
        <v>310</v>
      </c>
      <c r="N20" s="13">
        <v>218</v>
      </c>
      <c r="O20" s="13">
        <v>305</v>
      </c>
      <c r="P20" s="13">
        <v>361</v>
      </c>
      <c r="Q20" s="13">
        <v>366</v>
      </c>
      <c r="R20" s="13">
        <v>348</v>
      </c>
      <c r="S20" s="13">
        <v>367</v>
      </c>
      <c r="T20" s="13">
        <v>385</v>
      </c>
      <c r="U20" s="13">
        <v>343</v>
      </c>
      <c r="V20" s="13">
        <v>355</v>
      </c>
      <c r="W20" s="13">
        <v>336</v>
      </c>
      <c r="X20" s="13">
        <v>355</v>
      </c>
      <c r="Y20" s="13">
        <v>416</v>
      </c>
      <c r="Z20" s="13">
        <v>358</v>
      </c>
      <c r="AA20" s="13">
        <v>333</v>
      </c>
      <c r="AB20" s="13">
        <v>182</v>
      </c>
      <c r="AC20" s="13">
        <v>173</v>
      </c>
      <c r="AD20" s="13">
        <v>290</v>
      </c>
      <c r="AE20" s="13">
        <v>332</v>
      </c>
      <c r="AF20" s="13">
        <v>389</v>
      </c>
      <c r="AG20" s="13">
        <v>338</v>
      </c>
      <c r="AH20" s="13">
        <v>406</v>
      </c>
      <c r="AI20" s="13">
        <v>389</v>
      </c>
      <c r="AJ20" s="13">
        <v>357</v>
      </c>
      <c r="AK20" s="13">
        <v>336</v>
      </c>
      <c r="AL20" s="13">
        <v>333</v>
      </c>
      <c r="AM20" s="13">
        <v>269</v>
      </c>
      <c r="AN20" s="13">
        <v>385</v>
      </c>
      <c r="AO20" s="13">
        <v>298</v>
      </c>
      <c r="AP20" s="13">
        <v>388</v>
      </c>
      <c r="AQ20" s="13">
        <v>405</v>
      </c>
      <c r="AR20" s="13">
        <v>345</v>
      </c>
      <c r="AS20" s="13">
        <v>371</v>
      </c>
      <c r="AT20" s="13">
        <v>394</v>
      </c>
      <c r="AU20" s="13">
        <v>416</v>
      </c>
      <c r="AV20" s="13">
        <v>384</v>
      </c>
      <c r="AW20" s="13">
        <v>290</v>
      </c>
      <c r="AX20" s="13">
        <v>304</v>
      </c>
      <c r="AY20" s="13">
        <v>275</v>
      </c>
      <c r="AZ20" s="13">
        <v>363</v>
      </c>
      <c r="BA20" s="13">
        <v>320</v>
      </c>
      <c r="BB20" s="13">
        <v>248</v>
      </c>
    </row>
    <row r="22" spans="1:54" x14ac:dyDescent="0.2">
      <c r="A22" s="9" t="s">
        <v>195</v>
      </c>
      <c r="B22" s="42"/>
      <c r="C22" s="5">
        <v>1754</v>
      </c>
      <c r="D22" s="5">
        <v>1774</v>
      </c>
      <c r="E22" s="5">
        <v>1490</v>
      </c>
      <c r="F22" s="5">
        <v>1348</v>
      </c>
      <c r="G22" s="5">
        <v>1628</v>
      </c>
      <c r="H22" s="5">
        <v>1222</v>
      </c>
      <c r="I22" s="5">
        <v>1168</v>
      </c>
      <c r="J22" s="5">
        <v>1999</v>
      </c>
      <c r="K22" s="5">
        <v>1402</v>
      </c>
      <c r="L22" s="5">
        <v>1731</v>
      </c>
      <c r="M22" s="5">
        <v>1884</v>
      </c>
      <c r="N22" s="5">
        <v>1693</v>
      </c>
      <c r="O22" s="5">
        <v>1332</v>
      </c>
      <c r="P22" s="5">
        <v>1705</v>
      </c>
      <c r="Q22" s="5">
        <v>1546</v>
      </c>
      <c r="R22" s="5">
        <v>1888</v>
      </c>
      <c r="S22" s="5">
        <v>1651</v>
      </c>
      <c r="T22" s="5">
        <v>1591</v>
      </c>
      <c r="U22" s="5">
        <v>1904</v>
      </c>
      <c r="V22" s="5">
        <v>1742</v>
      </c>
      <c r="W22" s="5">
        <v>1331</v>
      </c>
      <c r="X22" s="5">
        <v>1428</v>
      </c>
      <c r="Y22" s="5">
        <v>2153</v>
      </c>
      <c r="Z22" s="5">
        <v>1851</v>
      </c>
      <c r="AA22" s="5">
        <v>1708</v>
      </c>
      <c r="AB22" s="5">
        <v>1443</v>
      </c>
      <c r="AC22" s="5">
        <v>1377</v>
      </c>
      <c r="AD22" s="5">
        <v>1594</v>
      </c>
      <c r="AE22" s="5">
        <v>1578</v>
      </c>
      <c r="AF22" s="5">
        <v>1330</v>
      </c>
      <c r="AG22" s="5">
        <v>1629</v>
      </c>
      <c r="AH22" s="5">
        <v>1718</v>
      </c>
      <c r="AI22" s="5">
        <v>1623</v>
      </c>
      <c r="AJ22" s="5">
        <v>1754</v>
      </c>
      <c r="AK22" s="5">
        <v>1566</v>
      </c>
      <c r="AL22" s="5">
        <v>2226</v>
      </c>
      <c r="AM22" s="5">
        <v>1929</v>
      </c>
      <c r="AN22" s="5">
        <v>1895</v>
      </c>
      <c r="AO22" s="5">
        <v>1980</v>
      </c>
      <c r="AP22" s="5">
        <v>1891</v>
      </c>
      <c r="AQ22" s="5">
        <v>1691</v>
      </c>
      <c r="AR22" s="5">
        <v>1815</v>
      </c>
      <c r="AS22" s="5">
        <v>2018</v>
      </c>
      <c r="AT22" s="5">
        <v>1975</v>
      </c>
      <c r="AU22" s="5">
        <v>2132</v>
      </c>
      <c r="AV22" s="5">
        <v>2028</v>
      </c>
      <c r="AW22" s="5">
        <v>2123</v>
      </c>
      <c r="AX22" s="5">
        <v>2201</v>
      </c>
      <c r="AY22" s="5">
        <v>2088</v>
      </c>
      <c r="AZ22" s="5">
        <v>2139</v>
      </c>
      <c r="BA22" s="5">
        <v>2059</v>
      </c>
      <c r="BB22" s="5">
        <v>1574</v>
      </c>
    </row>
    <row r="23" spans="1:54" x14ac:dyDescent="0.2">
      <c r="A23" s="12"/>
      <c r="B23" s="15"/>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row>
    <row r="24" spans="1:54" x14ac:dyDescent="0.2">
      <c r="A24" s="9" t="s">
        <v>196</v>
      </c>
      <c r="B24" s="42"/>
      <c r="C24" s="5">
        <v>3324</v>
      </c>
      <c r="D24" s="5">
        <v>3559</v>
      </c>
      <c r="E24" s="5">
        <v>4035</v>
      </c>
      <c r="F24" s="5">
        <v>4078</v>
      </c>
      <c r="G24" s="5">
        <v>3818</v>
      </c>
      <c r="H24" s="5">
        <v>3804</v>
      </c>
      <c r="I24" s="5">
        <v>3454</v>
      </c>
      <c r="J24" s="5">
        <v>4046</v>
      </c>
      <c r="K24" s="5">
        <v>4857</v>
      </c>
      <c r="L24" s="5">
        <v>4335</v>
      </c>
      <c r="M24" s="5">
        <v>4849</v>
      </c>
      <c r="N24" s="5">
        <v>4429</v>
      </c>
      <c r="O24" s="5">
        <v>3725</v>
      </c>
      <c r="P24" s="5">
        <v>2925</v>
      </c>
      <c r="Q24" s="5">
        <v>2970</v>
      </c>
      <c r="R24" s="5">
        <v>2612</v>
      </c>
      <c r="S24" s="5">
        <v>2894</v>
      </c>
      <c r="T24" s="5">
        <v>3093</v>
      </c>
      <c r="U24" s="5">
        <v>3439</v>
      </c>
      <c r="V24" s="5">
        <v>3605</v>
      </c>
      <c r="W24" s="5">
        <v>3698</v>
      </c>
      <c r="X24" s="5">
        <v>3103</v>
      </c>
      <c r="Y24" s="5">
        <v>3112</v>
      </c>
      <c r="Z24" s="5">
        <v>2984</v>
      </c>
      <c r="AA24" s="5">
        <v>3540</v>
      </c>
      <c r="AB24" s="5">
        <v>3511</v>
      </c>
      <c r="AC24" s="5">
        <v>2885</v>
      </c>
      <c r="AD24" s="5">
        <v>2700</v>
      </c>
      <c r="AE24" s="5">
        <v>2599</v>
      </c>
      <c r="AF24" s="5">
        <v>3159</v>
      </c>
      <c r="AG24" s="5">
        <v>2983</v>
      </c>
      <c r="AH24" s="5">
        <v>2827</v>
      </c>
      <c r="AI24" s="5">
        <v>3545</v>
      </c>
      <c r="AJ24" s="5">
        <v>3183</v>
      </c>
      <c r="AK24" s="5">
        <v>2792</v>
      </c>
      <c r="AL24" s="5">
        <v>2753</v>
      </c>
      <c r="AM24" s="5">
        <v>3467</v>
      </c>
      <c r="AN24" s="5">
        <v>3371</v>
      </c>
      <c r="AO24" s="5">
        <v>3353</v>
      </c>
      <c r="AP24" s="5">
        <v>3694</v>
      </c>
      <c r="AQ24" s="5">
        <v>3501</v>
      </c>
      <c r="AR24" s="5">
        <v>4077</v>
      </c>
      <c r="AS24" s="5">
        <v>3746</v>
      </c>
      <c r="AT24" s="5">
        <v>3248</v>
      </c>
      <c r="AU24" s="5">
        <v>3307</v>
      </c>
      <c r="AV24" s="5">
        <v>3539</v>
      </c>
      <c r="AW24" s="5">
        <v>3046</v>
      </c>
      <c r="AX24" s="5">
        <v>3725</v>
      </c>
      <c r="AY24" s="5">
        <v>4074</v>
      </c>
      <c r="AZ24" s="5">
        <v>3811</v>
      </c>
      <c r="BA24" s="5">
        <v>3135</v>
      </c>
      <c r="BB24" s="5">
        <v>2818</v>
      </c>
    </row>
    <row r="25" spans="1:54" x14ac:dyDescent="0.2">
      <c r="A25" s="12"/>
      <c r="B25" s="15"/>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row>
    <row r="26" spans="1:54" x14ac:dyDescent="0.2">
      <c r="A26" s="18" t="s">
        <v>197</v>
      </c>
      <c r="B26" s="19"/>
      <c r="C26" s="20">
        <v>41474</v>
      </c>
      <c r="D26" s="20">
        <v>48430</v>
      </c>
      <c r="E26" s="20">
        <v>43681</v>
      </c>
      <c r="F26" s="20">
        <v>43437</v>
      </c>
      <c r="G26" s="20">
        <v>43615</v>
      </c>
      <c r="H26" s="20">
        <v>39453</v>
      </c>
      <c r="I26" s="20">
        <v>37765</v>
      </c>
      <c r="J26" s="20">
        <v>44097</v>
      </c>
      <c r="K26" s="20">
        <v>45155</v>
      </c>
      <c r="L26" s="20">
        <v>45267</v>
      </c>
      <c r="M26" s="20">
        <v>45330</v>
      </c>
      <c r="N26" s="20">
        <v>43724</v>
      </c>
      <c r="O26" s="20">
        <v>42748</v>
      </c>
      <c r="P26" s="20">
        <v>44044</v>
      </c>
      <c r="Q26" s="20">
        <v>44027</v>
      </c>
      <c r="R26" s="20">
        <v>43750</v>
      </c>
      <c r="S26" s="20">
        <v>42485</v>
      </c>
      <c r="T26" s="20">
        <v>43647</v>
      </c>
      <c r="U26" s="20">
        <v>43376</v>
      </c>
      <c r="V26" s="20">
        <v>43129</v>
      </c>
      <c r="W26" s="20">
        <v>43177</v>
      </c>
      <c r="X26" s="20">
        <v>42926</v>
      </c>
      <c r="Y26" s="20">
        <v>43219</v>
      </c>
      <c r="Z26" s="20">
        <v>42556</v>
      </c>
      <c r="AA26" s="20">
        <v>44553</v>
      </c>
      <c r="AB26" s="20">
        <v>43109</v>
      </c>
      <c r="AC26" s="20">
        <v>42350</v>
      </c>
      <c r="AD26" s="20">
        <v>43230</v>
      </c>
      <c r="AE26" s="20">
        <v>42812</v>
      </c>
      <c r="AF26" s="20">
        <v>44685</v>
      </c>
      <c r="AG26" s="20">
        <v>44930</v>
      </c>
      <c r="AH26" s="20">
        <v>44808</v>
      </c>
      <c r="AI26" s="20">
        <v>45108</v>
      </c>
      <c r="AJ26" s="20">
        <v>44861</v>
      </c>
      <c r="AK26" s="20">
        <v>41881</v>
      </c>
      <c r="AL26" s="20">
        <v>44165</v>
      </c>
      <c r="AM26" s="20">
        <v>45360</v>
      </c>
      <c r="AN26" s="20">
        <v>45237</v>
      </c>
      <c r="AO26" s="20">
        <v>45865</v>
      </c>
      <c r="AP26" s="20">
        <v>41430</v>
      </c>
      <c r="AQ26" s="20">
        <v>44743</v>
      </c>
      <c r="AR26" s="20">
        <v>46197</v>
      </c>
      <c r="AS26" s="20">
        <v>45272</v>
      </c>
      <c r="AT26" s="20">
        <v>45754</v>
      </c>
      <c r="AU26" s="20">
        <v>43978</v>
      </c>
      <c r="AV26" s="20">
        <v>44357</v>
      </c>
      <c r="AW26" s="20">
        <v>41953</v>
      </c>
      <c r="AX26" s="20">
        <v>44010</v>
      </c>
      <c r="AY26" s="20">
        <v>41834</v>
      </c>
      <c r="AZ26" s="20">
        <v>43163</v>
      </c>
      <c r="BA26" s="20">
        <v>40679</v>
      </c>
      <c r="BB26" s="20">
        <v>36992</v>
      </c>
    </row>
    <row r="27" spans="1:54" x14ac:dyDescent="0.2">
      <c r="A27" s="12"/>
      <c r="B27" s="15"/>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row>
    <row r="28" spans="1:54" x14ac:dyDescent="0.2">
      <c r="A28" s="9" t="s">
        <v>198</v>
      </c>
      <c r="B28" s="12"/>
      <c r="C28" s="11">
        <v>5703</v>
      </c>
      <c r="D28" s="11">
        <v>6686</v>
      </c>
      <c r="E28" s="11">
        <v>5957</v>
      </c>
      <c r="F28" s="11">
        <v>5721</v>
      </c>
      <c r="G28" s="11">
        <v>5337</v>
      </c>
      <c r="H28" s="11">
        <v>4904</v>
      </c>
      <c r="I28" s="11">
        <v>4263</v>
      </c>
      <c r="J28" s="11">
        <v>5949</v>
      </c>
      <c r="K28" s="11">
        <v>4962</v>
      </c>
      <c r="L28" s="11">
        <v>5579</v>
      </c>
      <c r="M28" s="11">
        <v>4367</v>
      </c>
      <c r="N28" s="11">
        <v>5525</v>
      </c>
      <c r="O28" s="11">
        <v>5438</v>
      </c>
      <c r="P28" s="11">
        <v>7030</v>
      </c>
      <c r="Q28" s="11">
        <v>7007</v>
      </c>
      <c r="R28" s="11">
        <v>7125</v>
      </c>
      <c r="S28" s="11">
        <v>7246</v>
      </c>
      <c r="T28" s="11">
        <v>7482</v>
      </c>
      <c r="U28" s="11">
        <v>8105</v>
      </c>
      <c r="V28" s="11">
        <v>7858</v>
      </c>
      <c r="W28" s="11">
        <v>7025</v>
      </c>
      <c r="X28" s="11">
        <v>8322</v>
      </c>
      <c r="Y28" s="11">
        <v>7713</v>
      </c>
      <c r="Z28" s="11">
        <v>8632</v>
      </c>
      <c r="AA28" s="11">
        <v>8640</v>
      </c>
      <c r="AB28" s="11">
        <v>7224</v>
      </c>
      <c r="AC28" s="11">
        <v>5831</v>
      </c>
      <c r="AD28" s="11">
        <v>5688</v>
      </c>
      <c r="AE28" s="11">
        <v>7055</v>
      </c>
      <c r="AF28" s="11">
        <v>7975</v>
      </c>
      <c r="AG28" s="11">
        <v>8583</v>
      </c>
      <c r="AH28" s="11">
        <v>8952</v>
      </c>
      <c r="AI28" s="11">
        <v>8553</v>
      </c>
      <c r="AJ28" s="11">
        <v>9648</v>
      </c>
      <c r="AK28" s="11">
        <v>9424</v>
      </c>
      <c r="AL28" s="11">
        <v>9006</v>
      </c>
      <c r="AM28" s="11">
        <v>8801</v>
      </c>
      <c r="AN28" s="11">
        <v>9566</v>
      </c>
      <c r="AO28" s="11">
        <v>9329</v>
      </c>
      <c r="AP28" s="11">
        <v>10548</v>
      </c>
      <c r="AQ28" s="11">
        <v>9059</v>
      </c>
      <c r="AR28" s="11">
        <v>6969</v>
      </c>
      <c r="AS28" s="11">
        <v>8318</v>
      </c>
      <c r="AT28" s="11">
        <v>8959</v>
      </c>
      <c r="AU28" s="11">
        <v>8073</v>
      </c>
      <c r="AV28" s="11">
        <v>7503</v>
      </c>
      <c r="AW28" s="11">
        <v>5080</v>
      </c>
      <c r="AX28" s="11">
        <v>5801</v>
      </c>
      <c r="AY28" s="11">
        <v>7375</v>
      </c>
      <c r="AZ28" s="11">
        <v>8832</v>
      </c>
      <c r="BA28" s="11">
        <v>7176</v>
      </c>
      <c r="BB28" s="11">
        <v>5678</v>
      </c>
    </row>
    <row r="29" spans="1:54" x14ac:dyDescent="0.2">
      <c r="A29" s="12"/>
      <c r="B29" s="12" t="s">
        <v>198</v>
      </c>
      <c r="C29" s="13">
        <v>4735</v>
      </c>
      <c r="D29" s="13">
        <v>5527</v>
      </c>
      <c r="E29" s="13">
        <v>4804</v>
      </c>
      <c r="F29" s="13">
        <v>4556</v>
      </c>
      <c r="G29" s="13">
        <v>4390</v>
      </c>
      <c r="H29" s="13">
        <v>4087</v>
      </c>
      <c r="I29" s="13">
        <v>3471</v>
      </c>
      <c r="J29" s="13">
        <v>5050</v>
      </c>
      <c r="K29" s="13">
        <v>3684</v>
      </c>
      <c r="L29" s="13">
        <v>4451</v>
      </c>
      <c r="M29" s="13">
        <v>3429</v>
      </c>
      <c r="N29" s="13">
        <v>4350</v>
      </c>
      <c r="O29" s="13">
        <v>4396</v>
      </c>
      <c r="P29" s="13">
        <v>5970</v>
      </c>
      <c r="Q29" s="13">
        <v>5768</v>
      </c>
      <c r="R29" s="13">
        <v>6084</v>
      </c>
      <c r="S29" s="13">
        <v>6465</v>
      </c>
      <c r="T29" s="13">
        <v>6524</v>
      </c>
      <c r="U29" s="13">
        <v>7248</v>
      </c>
      <c r="V29" s="13">
        <v>6674</v>
      </c>
      <c r="W29" s="13">
        <v>5958</v>
      </c>
      <c r="X29" s="13">
        <v>7137</v>
      </c>
      <c r="Y29" s="13">
        <v>6824</v>
      </c>
      <c r="Z29" s="13">
        <v>7536</v>
      </c>
      <c r="AA29" s="13">
        <v>7451</v>
      </c>
      <c r="AB29" s="13">
        <v>6119</v>
      </c>
      <c r="AC29" s="13">
        <v>4969</v>
      </c>
      <c r="AD29" s="13">
        <v>4784</v>
      </c>
      <c r="AE29" s="13">
        <v>6177</v>
      </c>
      <c r="AF29" s="13">
        <v>6998</v>
      </c>
      <c r="AG29" s="13">
        <v>8047</v>
      </c>
      <c r="AH29" s="13">
        <v>7938</v>
      </c>
      <c r="AI29" s="13">
        <v>7498</v>
      </c>
      <c r="AJ29" s="13">
        <v>8577</v>
      </c>
      <c r="AK29" s="13">
        <v>8542</v>
      </c>
      <c r="AL29" s="13">
        <v>7782</v>
      </c>
      <c r="AM29" s="13">
        <v>7891</v>
      </c>
      <c r="AN29" s="13">
        <v>8435</v>
      </c>
      <c r="AO29" s="13">
        <v>8314</v>
      </c>
      <c r="AP29" s="13">
        <v>9087</v>
      </c>
      <c r="AQ29" s="13">
        <v>7870</v>
      </c>
      <c r="AR29" s="13">
        <v>6119</v>
      </c>
      <c r="AS29" s="13">
        <v>7331</v>
      </c>
      <c r="AT29" s="13">
        <v>8232</v>
      </c>
      <c r="AU29" s="13">
        <v>7529</v>
      </c>
      <c r="AV29" s="13">
        <v>6717</v>
      </c>
      <c r="AW29" s="13">
        <v>4089</v>
      </c>
      <c r="AX29" s="13">
        <v>4551</v>
      </c>
      <c r="AY29" s="13">
        <v>6214</v>
      </c>
      <c r="AZ29" s="13">
        <v>7719</v>
      </c>
      <c r="BA29" s="13">
        <v>6133</v>
      </c>
      <c r="BB29" s="13">
        <v>4502</v>
      </c>
    </row>
    <row r="30" spans="1:54" x14ac:dyDescent="0.2">
      <c r="A30" s="12"/>
      <c r="B30" s="15" t="s">
        <v>199</v>
      </c>
      <c r="C30" s="13">
        <v>968</v>
      </c>
      <c r="D30" s="13">
        <v>1159</v>
      </c>
      <c r="E30" s="13">
        <v>1153</v>
      </c>
      <c r="F30" s="13">
        <v>1165</v>
      </c>
      <c r="G30" s="13">
        <v>947</v>
      </c>
      <c r="H30" s="13">
        <v>817</v>
      </c>
      <c r="I30" s="13">
        <v>792</v>
      </c>
      <c r="J30" s="13">
        <v>899</v>
      </c>
      <c r="K30" s="13">
        <v>1278</v>
      </c>
      <c r="L30" s="13">
        <v>1128</v>
      </c>
      <c r="M30" s="13">
        <v>938</v>
      </c>
      <c r="N30" s="13">
        <v>1175</v>
      </c>
      <c r="O30" s="13">
        <v>1042</v>
      </c>
      <c r="P30" s="13">
        <v>1060</v>
      </c>
      <c r="Q30" s="13">
        <v>1239</v>
      </c>
      <c r="R30" s="13">
        <v>1041</v>
      </c>
      <c r="S30" s="13">
        <v>781</v>
      </c>
      <c r="T30" s="13">
        <v>958</v>
      </c>
      <c r="U30" s="13">
        <v>857</v>
      </c>
      <c r="V30" s="13">
        <v>1184</v>
      </c>
      <c r="W30" s="13">
        <v>1067</v>
      </c>
      <c r="X30" s="13">
        <v>1185</v>
      </c>
      <c r="Y30" s="13">
        <v>889</v>
      </c>
      <c r="Z30" s="13">
        <v>1096</v>
      </c>
      <c r="AA30" s="13">
        <v>1189</v>
      </c>
      <c r="AB30" s="13">
        <v>1105</v>
      </c>
      <c r="AC30" s="13">
        <v>862</v>
      </c>
      <c r="AD30" s="13">
        <v>904</v>
      </c>
      <c r="AE30" s="13">
        <v>878</v>
      </c>
      <c r="AF30" s="13">
        <v>977</v>
      </c>
      <c r="AG30" s="13">
        <v>536</v>
      </c>
      <c r="AH30" s="13">
        <v>1014</v>
      </c>
      <c r="AI30" s="13">
        <v>1055</v>
      </c>
      <c r="AJ30" s="13">
        <v>1071</v>
      </c>
      <c r="AK30" s="13">
        <v>882</v>
      </c>
      <c r="AL30" s="13">
        <v>1224</v>
      </c>
      <c r="AM30" s="13">
        <v>910</v>
      </c>
      <c r="AN30" s="13">
        <v>1131</v>
      </c>
      <c r="AO30" s="13">
        <v>1015</v>
      </c>
      <c r="AP30" s="13">
        <v>1461</v>
      </c>
      <c r="AQ30" s="13">
        <v>1189</v>
      </c>
      <c r="AR30" s="13">
        <v>850</v>
      </c>
      <c r="AS30" s="13">
        <v>987</v>
      </c>
      <c r="AT30" s="13">
        <v>727</v>
      </c>
      <c r="AU30" s="13">
        <v>544</v>
      </c>
      <c r="AV30" s="13">
        <v>786</v>
      </c>
      <c r="AW30" s="13">
        <v>991</v>
      </c>
      <c r="AX30" s="13">
        <v>1250</v>
      </c>
      <c r="AY30" s="13">
        <v>1161</v>
      </c>
      <c r="AZ30" s="13">
        <v>1113</v>
      </c>
      <c r="BA30" s="13">
        <v>1043</v>
      </c>
      <c r="BB30" s="13">
        <v>1176</v>
      </c>
    </row>
    <row r="31" spans="1:54" x14ac:dyDescent="0.2">
      <c r="A31" s="12"/>
      <c r="B31" s="15"/>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row>
    <row r="32" spans="1:54" x14ac:dyDescent="0.2">
      <c r="A32" s="16" t="s">
        <v>200</v>
      </c>
      <c r="B32" s="12"/>
      <c r="C32" s="11">
        <v>9346</v>
      </c>
      <c r="D32" s="11">
        <v>9515</v>
      </c>
      <c r="E32" s="11">
        <v>9921</v>
      </c>
      <c r="F32" s="11">
        <v>9601</v>
      </c>
      <c r="G32" s="11">
        <v>8659</v>
      </c>
      <c r="H32" s="11">
        <v>7059</v>
      </c>
      <c r="I32" s="11">
        <v>6874</v>
      </c>
      <c r="J32" s="11">
        <v>8766</v>
      </c>
      <c r="K32" s="11">
        <v>8911</v>
      </c>
      <c r="L32" s="11">
        <v>8966</v>
      </c>
      <c r="M32" s="11">
        <v>8406</v>
      </c>
      <c r="N32" s="11">
        <v>9730</v>
      </c>
      <c r="O32" s="11">
        <v>8347</v>
      </c>
      <c r="P32" s="11">
        <v>8687</v>
      </c>
      <c r="Q32" s="11">
        <v>9613</v>
      </c>
      <c r="R32" s="11">
        <v>7806</v>
      </c>
      <c r="S32" s="11">
        <v>8797</v>
      </c>
      <c r="T32" s="11">
        <v>7184</v>
      </c>
      <c r="U32" s="11">
        <v>6778</v>
      </c>
      <c r="V32" s="11">
        <v>6049</v>
      </c>
      <c r="W32" s="11">
        <v>7143</v>
      </c>
      <c r="X32" s="11">
        <v>6539</v>
      </c>
      <c r="Y32" s="11">
        <v>6496</v>
      </c>
      <c r="Z32" s="11">
        <v>6200</v>
      </c>
      <c r="AA32" s="11">
        <v>6419</v>
      </c>
      <c r="AB32" s="11">
        <v>5470</v>
      </c>
      <c r="AC32" s="11">
        <v>4198</v>
      </c>
      <c r="AD32" s="11">
        <v>5213</v>
      </c>
      <c r="AE32" s="11">
        <v>4362</v>
      </c>
      <c r="AF32" s="11">
        <v>5958</v>
      </c>
      <c r="AG32" s="11">
        <v>4534</v>
      </c>
      <c r="AH32" s="11">
        <v>4945</v>
      </c>
      <c r="AI32" s="11">
        <v>5777</v>
      </c>
      <c r="AJ32" s="11">
        <v>5231</v>
      </c>
      <c r="AK32" s="11">
        <v>5875</v>
      </c>
      <c r="AL32" s="11">
        <v>6642</v>
      </c>
      <c r="AM32" s="11">
        <v>7055</v>
      </c>
      <c r="AN32" s="11">
        <v>7658</v>
      </c>
      <c r="AO32" s="11">
        <v>7856</v>
      </c>
      <c r="AP32" s="11">
        <v>8514</v>
      </c>
      <c r="AQ32" s="11">
        <v>8957</v>
      </c>
      <c r="AR32" s="11">
        <v>8088</v>
      </c>
      <c r="AS32" s="11">
        <v>8398</v>
      </c>
      <c r="AT32" s="11">
        <v>8174</v>
      </c>
      <c r="AU32" s="11">
        <v>7991</v>
      </c>
      <c r="AV32" s="11">
        <v>7264</v>
      </c>
      <c r="AW32" s="11">
        <v>6010</v>
      </c>
      <c r="AX32" s="11">
        <v>6100</v>
      </c>
      <c r="AY32" s="11">
        <v>7545</v>
      </c>
      <c r="AZ32" s="11">
        <v>7100</v>
      </c>
      <c r="BA32" s="11">
        <v>6636</v>
      </c>
      <c r="BB32" s="11">
        <v>4580</v>
      </c>
    </row>
    <row r="33" spans="1:54" x14ac:dyDescent="0.2">
      <c r="A33" s="12"/>
      <c r="B33" s="15" t="s">
        <v>201</v>
      </c>
      <c r="C33" s="13">
        <v>2258</v>
      </c>
      <c r="D33" s="13">
        <v>2266</v>
      </c>
      <c r="E33" s="13">
        <v>2041</v>
      </c>
      <c r="F33" s="13">
        <v>1604</v>
      </c>
      <c r="G33" s="13">
        <v>1764</v>
      </c>
      <c r="H33" s="13">
        <v>1539</v>
      </c>
      <c r="I33" s="13">
        <v>2008</v>
      </c>
      <c r="J33" s="13">
        <v>2671</v>
      </c>
      <c r="K33" s="13">
        <v>1806</v>
      </c>
      <c r="L33" s="13">
        <v>2519</v>
      </c>
      <c r="M33" s="13">
        <v>1857</v>
      </c>
      <c r="N33" s="13">
        <v>2363</v>
      </c>
      <c r="O33" s="13">
        <v>905</v>
      </c>
      <c r="P33" s="13">
        <v>1390</v>
      </c>
      <c r="Q33" s="13">
        <v>2441</v>
      </c>
      <c r="R33" s="13">
        <v>2022</v>
      </c>
      <c r="S33" s="13">
        <v>2168</v>
      </c>
      <c r="T33" s="13">
        <v>734</v>
      </c>
      <c r="U33" s="13">
        <v>877</v>
      </c>
      <c r="V33" s="13">
        <v>1136</v>
      </c>
      <c r="W33" s="13">
        <v>1476</v>
      </c>
      <c r="X33" s="13">
        <v>1513</v>
      </c>
      <c r="Y33" s="13">
        <v>783</v>
      </c>
      <c r="Z33" s="13">
        <v>868</v>
      </c>
      <c r="AA33" s="13">
        <v>936</v>
      </c>
      <c r="AB33" s="13">
        <v>1041</v>
      </c>
      <c r="AC33" s="13">
        <v>589</v>
      </c>
      <c r="AD33" s="13">
        <v>1120</v>
      </c>
      <c r="AE33" s="13">
        <v>732</v>
      </c>
      <c r="AF33" s="13">
        <v>903</v>
      </c>
      <c r="AG33" s="13">
        <v>291</v>
      </c>
      <c r="AH33" s="13">
        <v>614</v>
      </c>
      <c r="AI33" s="13">
        <v>1056</v>
      </c>
      <c r="AJ33" s="13">
        <v>1117</v>
      </c>
      <c r="AK33" s="13">
        <v>1291</v>
      </c>
      <c r="AL33" s="13">
        <v>1319</v>
      </c>
      <c r="AM33" s="13">
        <v>2560</v>
      </c>
      <c r="AN33" s="13">
        <v>1907</v>
      </c>
      <c r="AO33" s="13">
        <v>2033</v>
      </c>
      <c r="AP33" s="13">
        <v>1933</v>
      </c>
      <c r="AQ33" s="13">
        <v>1954</v>
      </c>
      <c r="AR33" s="13">
        <v>1902</v>
      </c>
      <c r="AS33" s="13">
        <v>1516</v>
      </c>
      <c r="AT33" s="13">
        <v>1776</v>
      </c>
      <c r="AU33" s="13">
        <v>1524</v>
      </c>
      <c r="AV33" s="13">
        <v>1570</v>
      </c>
      <c r="AW33" s="13">
        <v>824</v>
      </c>
      <c r="AX33" s="13">
        <v>624</v>
      </c>
      <c r="AY33" s="13">
        <v>1465</v>
      </c>
      <c r="AZ33" s="13">
        <v>1287</v>
      </c>
      <c r="BA33" s="13">
        <v>856</v>
      </c>
      <c r="BB33" s="13">
        <v>514</v>
      </c>
    </row>
    <row r="34" spans="1:54" x14ac:dyDescent="0.2">
      <c r="A34" s="12"/>
      <c r="B34" s="15" t="s">
        <v>200</v>
      </c>
      <c r="C34" s="13">
        <v>5381</v>
      </c>
      <c r="D34" s="13">
        <v>6080</v>
      </c>
      <c r="E34" s="13">
        <v>6627</v>
      </c>
      <c r="F34" s="13">
        <v>6449</v>
      </c>
      <c r="G34" s="13">
        <v>5720</v>
      </c>
      <c r="H34" s="13">
        <v>4258</v>
      </c>
      <c r="I34" s="13">
        <v>3732</v>
      </c>
      <c r="J34" s="13">
        <v>4918</v>
      </c>
      <c r="K34" s="13">
        <v>5614</v>
      </c>
      <c r="L34" s="13">
        <v>5157</v>
      </c>
      <c r="M34" s="13">
        <v>5219</v>
      </c>
      <c r="N34" s="13">
        <v>5926</v>
      </c>
      <c r="O34" s="13">
        <v>6152</v>
      </c>
      <c r="P34" s="13">
        <v>6182</v>
      </c>
      <c r="Q34" s="13">
        <v>5849</v>
      </c>
      <c r="R34" s="13">
        <v>4507</v>
      </c>
      <c r="S34" s="13">
        <v>5353</v>
      </c>
      <c r="T34" s="13">
        <v>5426</v>
      </c>
      <c r="U34" s="13">
        <v>4562</v>
      </c>
      <c r="V34" s="13">
        <v>3764</v>
      </c>
      <c r="W34" s="13">
        <v>4421</v>
      </c>
      <c r="X34" s="13">
        <v>3825</v>
      </c>
      <c r="Y34" s="13">
        <v>4379</v>
      </c>
      <c r="Z34" s="13">
        <v>4037</v>
      </c>
      <c r="AA34" s="13">
        <v>4010</v>
      </c>
      <c r="AB34" s="13">
        <v>3275</v>
      </c>
      <c r="AC34" s="13">
        <v>2514</v>
      </c>
      <c r="AD34" s="13">
        <v>2614</v>
      </c>
      <c r="AE34" s="13">
        <v>2481</v>
      </c>
      <c r="AF34" s="13">
        <v>3721</v>
      </c>
      <c r="AG34" s="13">
        <v>2872</v>
      </c>
      <c r="AH34" s="13">
        <v>3033</v>
      </c>
      <c r="AI34" s="13">
        <v>3642</v>
      </c>
      <c r="AJ34" s="13">
        <v>3078</v>
      </c>
      <c r="AK34" s="13">
        <v>3669</v>
      </c>
      <c r="AL34" s="13">
        <v>3895</v>
      </c>
      <c r="AM34" s="13">
        <v>3153</v>
      </c>
      <c r="AN34" s="13">
        <v>4609</v>
      </c>
      <c r="AO34" s="13">
        <v>4682</v>
      </c>
      <c r="AP34" s="13">
        <v>5175</v>
      </c>
      <c r="AQ34" s="13">
        <v>5654</v>
      </c>
      <c r="AR34" s="13">
        <v>4995</v>
      </c>
      <c r="AS34" s="13">
        <v>5769</v>
      </c>
      <c r="AT34" s="13">
        <v>4880</v>
      </c>
      <c r="AU34" s="13">
        <v>5114</v>
      </c>
      <c r="AV34" s="13">
        <v>4484</v>
      </c>
      <c r="AW34" s="13">
        <v>3941</v>
      </c>
      <c r="AX34" s="13">
        <v>4065</v>
      </c>
      <c r="AY34" s="13">
        <v>4842</v>
      </c>
      <c r="AZ34" s="13">
        <v>4605</v>
      </c>
      <c r="BA34" s="13">
        <v>4529</v>
      </c>
      <c r="BB34" s="13">
        <v>2743</v>
      </c>
    </row>
    <row r="35" spans="1:54" x14ac:dyDescent="0.2">
      <c r="A35" s="12"/>
      <c r="B35" s="15" t="s">
        <v>202</v>
      </c>
      <c r="C35" s="13">
        <v>1707</v>
      </c>
      <c r="D35" s="13">
        <v>1169</v>
      </c>
      <c r="E35" s="13">
        <v>1253</v>
      </c>
      <c r="F35" s="13">
        <v>1548</v>
      </c>
      <c r="G35" s="13">
        <v>1175</v>
      </c>
      <c r="H35" s="13">
        <v>1262</v>
      </c>
      <c r="I35" s="13">
        <v>1134</v>
      </c>
      <c r="J35" s="13">
        <v>1177</v>
      </c>
      <c r="K35" s="13">
        <v>1491</v>
      </c>
      <c r="L35" s="13">
        <v>1290</v>
      </c>
      <c r="M35" s="13">
        <v>1330</v>
      </c>
      <c r="N35" s="13">
        <v>1441</v>
      </c>
      <c r="O35" s="13">
        <v>1290</v>
      </c>
      <c r="P35" s="13">
        <v>1115</v>
      </c>
      <c r="Q35" s="13">
        <v>1323</v>
      </c>
      <c r="R35" s="13">
        <v>1277</v>
      </c>
      <c r="S35" s="13">
        <v>1276</v>
      </c>
      <c r="T35" s="13">
        <v>1024</v>
      </c>
      <c r="U35" s="13">
        <v>1339</v>
      </c>
      <c r="V35" s="13">
        <v>1149</v>
      </c>
      <c r="W35" s="13">
        <v>1246</v>
      </c>
      <c r="X35" s="13">
        <v>1201</v>
      </c>
      <c r="Y35" s="13">
        <v>1334</v>
      </c>
      <c r="Z35" s="13">
        <v>1295</v>
      </c>
      <c r="AA35" s="13">
        <v>1473</v>
      </c>
      <c r="AB35" s="13">
        <v>1154</v>
      </c>
      <c r="AC35" s="13">
        <v>1095</v>
      </c>
      <c r="AD35" s="13">
        <v>1479</v>
      </c>
      <c r="AE35" s="13">
        <v>1149</v>
      </c>
      <c r="AF35" s="13">
        <v>1334</v>
      </c>
      <c r="AG35" s="13">
        <v>1371</v>
      </c>
      <c r="AH35" s="13">
        <v>1298</v>
      </c>
      <c r="AI35" s="13">
        <v>1079</v>
      </c>
      <c r="AJ35" s="13">
        <v>1036</v>
      </c>
      <c r="AK35" s="13">
        <v>915</v>
      </c>
      <c r="AL35" s="13">
        <v>1428</v>
      </c>
      <c r="AM35" s="13">
        <v>1342</v>
      </c>
      <c r="AN35" s="13">
        <v>1142</v>
      </c>
      <c r="AO35" s="13">
        <v>1141</v>
      </c>
      <c r="AP35" s="13">
        <v>1406</v>
      </c>
      <c r="AQ35" s="13">
        <v>1349</v>
      </c>
      <c r="AR35" s="13">
        <v>1191</v>
      </c>
      <c r="AS35" s="13">
        <v>1113</v>
      </c>
      <c r="AT35" s="13">
        <v>1518</v>
      </c>
      <c r="AU35" s="13">
        <v>1353</v>
      </c>
      <c r="AV35" s="13">
        <v>1210</v>
      </c>
      <c r="AW35" s="13">
        <v>1245</v>
      </c>
      <c r="AX35" s="13">
        <v>1411</v>
      </c>
      <c r="AY35" s="13">
        <v>1238</v>
      </c>
      <c r="AZ35" s="13">
        <v>1208</v>
      </c>
      <c r="BA35" s="13">
        <v>1251</v>
      </c>
      <c r="BB35" s="13">
        <v>1323</v>
      </c>
    </row>
    <row r="36" spans="1:54" x14ac:dyDescent="0.2">
      <c r="A36" s="12"/>
      <c r="B36" s="15"/>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row>
    <row r="37" spans="1:54" x14ac:dyDescent="0.2">
      <c r="A37" s="9" t="s">
        <v>203</v>
      </c>
      <c r="B37" s="42"/>
      <c r="C37" s="5">
        <v>1875</v>
      </c>
      <c r="D37" s="5">
        <v>1646</v>
      </c>
      <c r="E37" s="5">
        <v>1456</v>
      </c>
      <c r="F37" s="5">
        <v>1766</v>
      </c>
      <c r="G37" s="5">
        <v>1669</v>
      </c>
      <c r="H37" s="5">
        <v>1628</v>
      </c>
      <c r="I37" s="5">
        <v>1464</v>
      </c>
      <c r="J37" s="5">
        <v>1528</v>
      </c>
      <c r="K37" s="5">
        <v>1981</v>
      </c>
      <c r="L37" s="5">
        <v>1561</v>
      </c>
      <c r="M37" s="5">
        <v>1713</v>
      </c>
      <c r="N37" s="5">
        <v>1777</v>
      </c>
      <c r="O37" s="5">
        <v>1737</v>
      </c>
      <c r="P37" s="5">
        <v>1880</v>
      </c>
      <c r="Q37" s="5">
        <v>1537</v>
      </c>
      <c r="R37" s="5">
        <v>1913</v>
      </c>
      <c r="S37" s="5">
        <v>1807</v>
      </c>
      <c r="T37" s="5">
        <v>1609</v>
      </c>
      <c r="U37" s="5">
        <v>1439</v>
      </c>
      <c r="V37" s="5">
        <v>1414</v>
      </c>
      <c r="W37" s="5">
        <v>1494</v>
      </c>
      <c r="X37" s="5">
        <v>1610</v>
      </c>
      <c r="Y37" s="5">
        <v>1647</v>
      </c>
      <c r="Z37" s="5">
        <v>1182</v>
      </c>
      <c r="AA37" s="5">
        <v>1829</v>
      </c>
      <c r="AB37" s="5">
        <v>1227</v>
      </c>
      <c r="AC37" s="5">
        <v>1198</v>
      </c>
      <c r="AD37" s="5">
        <v>1355</v>
      </c>
      <c r="AE37" s="5">
        <v>1359</v>
      </c>
      <c r="AF37" s="5">
        <v>1290</v>
      </c>
      <c r="AG37" s="5">
        <v>1450</v>
      </c>
      <c r="AH37" s="5">
        <v>1208</v>
      </c>
      <c r="AI37" s="5">
        <v>1367</v>
      </c>
      <c r="AJ37" s="5">
        <v>1117</v>
      </c>
      <c r="AK37" s="5">
        <v>1100</v>
      </c>
      <c r="AL37" s="5">
        <v>1015</v>
      </c>
      <c r="AM37" s="5">
        <v>1345</v>
      </c>
      <c r="AN37" s="5">
        <v>1389</v>
      </c>
      <c r="AO37" s="5">
        <v>1343</v>
      </c>
      <c r="AP37" s="5">
        <v>1734</v>
      </c>
      <c r="AQ37" s="5">
        <v>1496</v>
      </c>
      <c r="AR37" s="5">
        <v>1689</v>
      </c>
      <c r="AS37" s="5">
        <v>1689</v>
      </c>
      <c r="AT37" s="5">
        <v>1537</v>
      </c>
      <c r="AU37" s="5">
        <v>1645</v>
      </c>
      <c r="AV37" s="5">
        <v>1361</v>
      </c>
      <c r="AW37" s="5">
        <v>1089</v>
      </c>
      <c r="AX37" s="5">
        <v>1467</v>
      </c>
      <c r="AY37" s="5">
        <v>1314</v>
      </c>
      <c r="AZ37" s="5">
        <v>1521</v>
      </c>
      <c r="BA37" s="5">
        <v>1541</v>
      </c>
      <c r="BB37" s="5">
        <v>1130</v>
      </c>
    </row>
    <row r="38" spans="1:54" x14ac:dyDescent="0.2">
      <c r="A38" s="4"/>
      <c r="B38" s="4"/>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row>
    <row r="39" spans="1:54" x14ac:dyDescent="0.2">
      <c r="A39" s="18" t="s">
        <v>204</v>
      </c>
      <c r="B39" s="19"/>
      <c r="C39" s="20">
        <v>16924</v>
      </c>
      <c r="D39" s="20">
        <v>17847</v>
      </c>
      <c r="E39" s="20">
        <v>17334</v>
      </c>
      <c r="F39" s="20">
        <v>17088</v>
      </c>
      <c r="G39" s="20">
        <v>15665</v>
      </c>
      <c r="H39" s="20">
        <v>13591</v>
      </c>
      <c r="I39" s="20">
        <v>12601</v>
      </c>
      <c r="J39" s="20">
        <v>16243</v>
      </c>
      <c r="K39" s="20">
        <v>15854</v>
      </c>
      <c r="L39" s="20">
        <v>16106</v>
      </c>
      <c r="M39" s="20">
        <v>14486</v>
      </c>
      <c r="N39" s="20">
        <v>17032</v>
      </c>
      <c r="O39" s="20">
        <v>15522</v>
      </c>
      <c r="P39" s="20">
        <v>17597</v>
      </c>
      <c r="Q39" s="20">
        <v>18157</v>
      </c>
      <c r="R39" s="20">
        <v>16844</v>
      </c>
      <c r="S39" s="20">
        <v>17850</v>
      </c>
      <c r="T39" s="20">
        <v>16275</v>
      </c>
      <c r="U39" s="20">
        <v>16322</v>
      </c>
      <c r="V39" s="20">
        <v>15321</v>
      </c>
      <c r="W39" s="20">
        <v>15662</v>
      </c>
      <c r="X39" s="20">
        <v>16471</v>
      </c>
      <c r="Y39" s="20">
        <v>15856</v>
      </c>
      <c r="Z39" s="20">
        <v>16014</v>
      </c>
      <c r="AA39" s="20">
        <v>16888</v>
      </c>
      <c r="AB39" s="20">
        <v>13921</v>
      </c>
      <c r="AC39" s="20">
        <v>11227</v>
      </c>
      <c r="AD39" s="20">
        <v>12256</v>
      </c>
      <c r="AE39" s="20">
        <v>12776</v>
      </c>
      <c r="AF39" s="20">
        <v>15223</v>
      </c>
      <c r="AG39" s="20">
        <v>14567</v>
      </c>
      <c r="AH39" s="20">
        <v>15105</v>
      </c>
      <c r="AI39" s="20">
        <v>15697</v>
      </c>
      <c r="AJ39" s="20">
        <v>15996</v>
      </c>
      <c r="AK39" s="20">
        <v>16399</v>
      </c>
      <c r="AL39" s="20">
        <v>16663</v>
      </c>
      <c r="AM39" s="20">
        <v>17201</v>
      </c>
      <c r="AN39" s="20">
        <v>18613</v>
      </c>
      <c r="AO39" s="20">
        <v>18528</v>
      </c>
      <c r="AP39" s="20">
        <v>20796</v>
      </c>
      <c r="AQ39" s="20">
        <v>19512</v>
      </c>
      <c r="AR39" s="20">
        <v>16746</v>
      </c>
      <c r="AS39" s="20">
        <v>18405</v>
      </c>
      <c r="AT39" s="20">
        <v>18670</v>
      </c>
      <c r="AU39" s="20">
        <v>17709</v>
      </c>
      <c r="AV39" s="20">
        <v>16128</v>
      </c>
      <c r="AW39" s="20">
        <v>12179</v>
      </c>
      <c r="AX39" s="20">
        <v>13368</v>
      </c>
      <c r="AY39" s="20">
        <v>16234</v>
      </c>
      <c r="AZ39" s="20">
        <v>17453</v>
      </c>
      <c r="BA39" s="20">
        <v>15353</v>
      </c>
      <c r="BB39" s="20">
        <v>11388</v>
      </c>
    </row>
    <row r="40" spans="1:54" x14ac:dyDescent="0.2">
      <c r="A40" s="12"/>
      <c r="B40" s="15"/>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row>
    <row r="41" spans="1:54" x14ac:dyDescent="0.2">
      <c r="A41" s="12"/>
      <c r="B41" s="15" t="s">
        <v>205</v>
      </c>
      <c r="C41" s="13">
        <v>57756</v>
      </c>
      <c r="D41" s="13">
        <v>56267</v>
      </c>
      <c r="E41" s="13">
        <v>54881</v>
      </c>
      <c r="F41" s="13">
        <v>52728</v>
      </c>
      <c r="G41" s="13">
        <v>51994</v>
      </c>
      <c r="H41" s="13">
        <v>47248</v>
      </c>
      <c r="I41" s="13">
        <v>46114</v>
      </c>
      <c r="J41" s="13">
        <v>52293</v>
      </c>
      <c r="K41" s="13">
        <v>55019</v>
      </c>
      <c r="L41" s="13">
        <v>54887</v>
      </c>
      <c r="M41" s="13">
        <v>53278</v>
      </c>
      <c r="N41" s="13">
        <v>54780</v>
      </c>
      <c r="O41" s="13">
        <v>53645</v>
      </c>
      <c r="P41" s="13">
        <v>55656</v>
      </c>
      <c r="Q41" s="13">
        <v>51184</v>
      </c>
      <c r="R41" s="13">
        <v>51104</v>
      </c>
      <c r="S41" s="13">
        <v>50080</v>
      </c>
      <c r="T41" s="13">
        <v>56477</v>
      </c>
      <c r="U41" s="13">
        <v>55375</v>
      </c>
      <c r="V41" s="13">
        <v>55749</v>
      </c>
      <c r="W41" s="13">
        <v>52828</v>
      </c>
      <c r="X41" s="13">
        <v>54267</v>
      </c>
      <c r="Y41" s="13">
        <v>52877</v>
      </c>
      <c r="Z41" s="13">
        <v>52171</v>
      </c>
      <c r="AA41" s="13">
        <v>52854</v>
      </c>
      <c r="AB41" s="13">
        <v>47042</v>
      </c>
      <c r="AC41" s="13">
        <v>39841</v>
      </c>
      <c r="AD41" s="13">
        <v>46065</v>
      </c>
      <c r="AE41" s="13">
        <v>52614</v>
      </c>
      <c r="AF41" s="13">
        <v>50473</v>
      </c>
      <c r="AG41" s="13">
        <v>49149</v>
      </c>
      <c r="AH41" s="13">
        <v>54714</v>
      </c>
      <c r="AI41" s="13">
        <v>52098</v>
      </c>
      <c r="AJ41" s="13">
        <v>50819</v>
      </c>
      <c r="AK41" s="13">
        <v>49503</v>
      </c>
      <c r="AL41" s="13">
        <v>43583</v>
      </c>
      <c r="AM41" s="13">
        <v>53798</v>
      </c>
      <c r="AN41" s="13">
        <v>50904</v>
      </c>
      <c r="AO41" s="13">
        <v>50014</v>
      </c>
      <c r="AP41" s="13">
        <v>51738</v>
      </c>
      <c r="AQ41" s="13">
        <v>47452</v>
      </c>
      <c r="AR41" s="13">
        <v>50731</v>
      </c>
      <c r="AS41" s="13">
        <v>49063</v>
      </c>
      <c r="AT41" s="13">
        <v>51572</v>
      </c>
      <c r="AU41" s="13">
        <v>50240</v>
      </c>
      <c r="AV41" s="13">
        <v>40310</v>
      </c>
      <c r="AW41" s="13">
        <v>35117</v>
      </c>
      <c r="AX41" s="13">
        <v>39428</v>
      </c>
      <c r="AY41" s="13">
        <v>44569</v>
      </c>
      <c r="AZ41" s="13">
        <v>47538</v>
      </c>
      <c r="BA41" s="13">
        <v>39992</v>
      </c>
      <c r="BB41" s="13">
        <v>34887</v>
      </c>
    </row>
    <row r="42" spans="1:54" x14ac:dyDescent="0.2">
      <c r="A42" s="12"/>
      <c r="B42" s="15" t="s">
        <v>206</v>
      </c>
      <c r="C42" s="13">
        <v>0</v>
      </c>
      <c r="D42" s="13">
        <v>0</v>
      </c>
      <c r="E42" s="13">
        <v>0</v>
      </c>
      <c r="F42" s="13">
        <v>0</v>
      </c>
      <c r="G42" s="13">
        <v>0</v>
      </c>
      <c r="H42" s="13">
        <v>0</v>
      </c>
      <c r="I42" s="13">
        <v>0</v>
      </c>
      <c r="J42" s="13">
        <v>0</v>
      </c>
      <c r="K42" s="13">
        <v>0</v>
      </c>
      <c r="L42" s="13">
        <v>0</v>
      </c>
      <c r="M42" s="13">
        <v>0</v>
      </c>
      <c r="N42" s="13">
        <v>0</v>
      </c>
      <c r="O42" s="13">
        <v>0</v>
      </c>
      <c r="P42" s="13">
        <v>0</v>
      </c>
      <c r="Q42" s="13">
        <v>0</v>
      </c>
      <c r="R42" s="13">
        <v>0</v>
      </c>
      <c r="S42" s="13">
        <v>0</v>
      </c>
      <c r="T42" s="13">
        <v>0</v>
      </c>
      <c r="U42" s="13">
        <v>0</v>
      </c>
      <c r="V42" s="13">
        <v>0</v>
      </c>
      <c r="W42" s="13">
        <v>0</v>
      </c>
      <c r="X42" s="13">
        <v>0</v>
      </c>
      <c r="Y42" s="13">
        <v>0</v>
      </c>
      <c r="Z42" s="13">
        <v>0</v>
      </c>
      <c r="AA42" s="13">
        <v>0</v>
      </c>
      <c r="AB42" s="13">
        <v>0</v>
      </c>
      <c r="AC42" s="13">
        <v>0</v>
      </c>
      <c r="AD42" s="13">
        <v>0</v>
      </c>
      <c r="AE42" s="13">
        <v>0</v>
      </c>
      <c r="AF42" s="13">
        <v>0</v>
      </c>
      <c r="AG42" s="13">
        <v>0</v>
      </c>
      <c r="AH42" s="13">
        <v>0</v>
      </c>
      <c r="AI42" s="13">
        <v>0</v>
      </c>
      <c r="AJ42" s="13">
        <v>0</v>
      </c>
      <c r="AK42" s="13">
        <v>0</v>
      </c>
      <c r="AL42" s="13">
        <v>0</v>
      </c>
      <c r="AM42" s="13">
        <v>0</v>
      </c>
      <c r="AN42" s="13">
        <v>0</v>
      </c>
      <c r="AO42" s="13">
        <v>0</v>
      </c>
      <c r="AP42" s="13">
        <v>0</v>
      </c>
      <c r="AQ42" s="13">
        <v>0</v>
      </c>
      <c r="AR42" s="13">
        <v>0</v>
      </c>
      <c r="AS42" s="13">
        <v>0</v>
      </c>
      <c r="AT42" s="13">
        <v>0</v>
      </c>
      <c r="AU42" s="13">
        <v>0</v>
      </c>
      <c r="AV42" s="13">
        <v>0</v>
      </c>
      <c r="AW42" s="13">
        <v>0</v>
      </c>
      <c r="AX42" s="13">
        <v>0</v>
      </c>
      <c r="AY42" s="13">
        <v>0</v>
      </c>
      <c r="AZ42" s="13">
        <v>0</v>
      </c>
      <c r="BA42" s="13">
        <v>0</v>
      </c>
      <c r="BB42" s="13">
        <v>0</v>
      </c>
    </row>
    <row r="43" spans="1:54" x14ac:dyDescent="0.2">
      <c r="A43" s="12"/>
      <c r="B43" s="15"/>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row>
    <row r="44" spans="1:54" x14ac:dyDescent="0.2">
      <c r="A44" s="18" t="s">
        <v>207</v>
      </c>
      <c r="B44" s="18"/>
      <c r="C44" s="20">
        <v>57756</v>
      </c>
      <c r="D44" s="20">
        <v>56267</v>
      </c>
      <c r="E44" s="20">
        <v>54881</v>
      </c>
      <c r="F44" s="20">
        <v>52728</v>
      </c>
      <c r="G44" s="20">
        <v>51994</v>
      </c>
      <c r="H44" s="20">
        <v>47248</v>
      </c>
      <c r="I44" s="20">
        <v>46114</v>
      </c>
      <c r="J44" s="20">
        <v>52293</v>
      </c>
      <c r="K44" s="20">
        <v>55019</v>
      </c>
      <c r="L44" s="20">
        <v>54887</v>
      </c>
      <c r="M44" s="20">
        <v>53278</v>
      </c>
      <c r="N44" s="20">
        <v>54780</v>
      </c>
      <c r="O44" s="20">
        <v>53645</v>
      </c>
      <c r="P44" s="20">
        <v>55656</v>
      </c>
      <c r="Q44" s="20">
        <v>51184</v>
      </c>
      <c r="R44" s="20">
        <v>51104</v>
      </c>
      <c r="S44" s="20">
        <v>50080</v>
      </c>
      <c r="T44" s="20">
        <v>56477</v>
      </c>
      <c r="U44" s="20">
        <v>55375</v>
      </c>
      <c r="V44" s="20">
        <v>55749</v>
      </c>
      <c r="W44" s="20">
        <v>52828</v>
      </c>
      <c r="X44" s="20">
        <v>54267</v>
      </c>
      <c r="Y44" s="20">
        <v>52877</v>
      </c>
      <c r="Z44" s="20">
        <v>52171</v>
      </c>
      <c r="AA44" s="20">
        <v>52854</v>
      </c>
      <c r="AB44" s="20">
        <v>47042</v>
      </c>
      <c r="AC44" s="20">
        <v>39841</v>
      </c>
      <c r="AD44" s="20">
        <v>46065</v>
      </c>
      <c r="AE44" s="20">
        <v>52614</v>
      </c>
      <c r="AF44" s="20">
        <v>50473</v>
      </c>
      <c r="AG44" s="20">
        <v>49149</v>
      </c>
      <c r="AH44" s="20">
        <v>54714</v>
      </c>
      <c r="AI44" s="20">
        <v>52098</v>
      </c>
      <c r="AJ44" s="20">
        <v>50819</v>
      </c>
      <c r="AK44" s="20">
        <v>49503</v>
      </c>
      <c r="AL44" s="20">
        <v>43583</v>
      </c>
      <c r="AM44" s="20">
        <v>53798</v>
      </c>
      <c r="AN44" s="20">
        <v>50904</v>
      </c>
      <c r="AO44" s="20">
        <v>50014</v>
      </c>
      <c r="AP44" s="20">
        <v>51738</v>
      </c>
      <c r="AQ44" s="20">
        <v>47452</v>
      </c>
      <c r="AR44" s="20">
        <v>50731</v>
      </c>
      <c r="AS44" s="20">
        <v>49063</v>
      </c>
      <c r="AT44" s="20">
        <v>51572</v>
      </c>
      <c r="AU44" s="20">
        <v>50240</v>
      </c>
      <c r="AV44" s="20">
        <v>40310</v>
      </c>
      <c r="AW44" s="20">
        <v>35117</v>
      </c>
      <c r="AX44" s="20">
        <v>39428</v>
      </c>
      <c r="AY44" s="20">
        <v>44569</v>
      </c>
      <c r="AZ44" s="20">
        <v>47538</v>
      </c>
      <c r="BA44" s="20">
        <v>39992</v>
      </c>
      <c r="BB44" s="20">
        <v>34887</v>
      </c>
    </row>
    <row r="45" spans="1:54" x14ac:dyDescent="0.2">
      <c r="A45" s="12"/>
      <c r="B45" s="14"/>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row>
    <row r="46" spans="1:54" ht="13.5" thickBot="1" x14ac:dyDescent="0.25">
      <c r="A46" s="21" t="s">
        <v>208</v>
      </c>
      <c r="B46" s="22"/>
      <c r="C46" s="23">
        <v>116154</v>
      </c>
      <c r="D46" s="23">
        <v>122544</v>
      </c>
      <c r="E46" s="23">
        <v>115896</v>
      </c>
      <c r="F46" s="23">
        <v>113253</v>
      </c>
      <c r="G46" s="23">
        <v>111274</v>
      </c>
      <c r="H46" s="23">
        <v>100292</v>
      </c>
      <c r="I46" s="23">
        <v>96480</v>
      </c>
      <c r="J46" s="23">
        <v>112633</v>
      </c>
      <c r="K46" s="23">
        <v>116028</v>
      </c>
      <c r="L46" s="23">
        <v>116260</v>
      </c>
      <c r="M46" s="23">
        <v>113094</v>
      </c>
      <c r="N46" s="23">
        <v>115536</v>
      </c>
      <c r="O46" s="23">
        <v>111915</v>
      </c>
      <c r="P46" s="23">
        <v>117297</v>
      </c>
      <c r="Q46" s="23">
        <v>113368</v>
      </c>
      <c r="R46" s="23">
        <v>111698</v>
      </c>
      <c r="S46" s="23">
        <v>110415</v>
      </c>
      <c r="T46" s="23">
        <v>116399</v>
      </c>
      <c r="U46" s="23">
        <v>115073</v>
      </c>
      <c r="V46" s="23">
        <v>114199</v>
      </c>
      <c r="W46" s="23">
        <v>111667</v>
      </c>
      <c r="X46" s="23">
        <v>113664</v>
      </c>
      <c r="Y46" s="23">
        <v>111952</v>
      </c>
      <c r="Z46" s="23">
        <v>110741</v>
      </c>
      <c r="AA46" s="23">
        <v>114295</v>
      </c>
      <c r="AB46" s="23">
        <v>104072</v>
      </c>
      <c r="AC46" s="23">
        <v>93418</v>
      </c>
      <c r="AD46" s="23">
        <v>101551</v>
      </c>
      <c r="AE46" s="23">
        <v>108202</v>
      </c>
      <c r="AF46" s="23">
        <v>110381</v>
      </c>
      <c r="AG46" s="23">
        <v>108646</v>
      </c>
      <c r="AH46" s="23">
        <v>114627</v>
      </c>
      <c r="AI46" s="23">
        <v>112903</v>
      </c>
      <c r="AJ46" s="23">
        <v>111676</v>
      </c>
      <c r="AK46" s="23">
        <v>107783</v>
      </c>
      <c r="AL46" s="23">
        <v>104411</v>
      </c>
      <c r="AM46" s="23">
        <v>116359</v>
      </c>
      <c r="AN46" s="23">
        <v>114754</v>
      </c>
      <c r="AO46" s="23">
        <v>114407</v>
      </c>
      <c r="AP46" s="23">
        <v>113964</v>
      </c>
      <c r="AQ46" s="23">
        <v>111707</v>
      </c>
      <c r="AR46" s="23">
        <v>113674</v>
      </c>
      <c r="AS46" s="23">
        <v>112740</v>
      </c>
      <c r="AT46" s="23">
        <v>115996</v>
      </c>
      <c r="AU46" s="23">
        <v>111927</v>
      </c>
      <c r="AV46" s="23">
        <v>100795</v>
      </c>
      <c r="AW46" s="23">
        <v>89249</v>
      </c>
      <c r="AX46" s="23">
        <v>96806</v>
      </c>
      <c r="AY46" s="23">
        <v>102637</v>
      </c>
      <c r="AZ46" s="23">
        <v>108154</v>
      </c>
      <c r="BA46" s="23">
        <v>96024</v>
      </c>
      <c r="BB46" s="23">
        <v>83267</v>
      </c>
    </row>
    <row r="47" spans="1:54" ht="13.5" thickTop="1" x14ac:dyDescent="0.2">
      <c r="A47" s="42"/>
      <c r="B47" s="42"/>
      <c r="C47" s="43"/>
      <c r="D47" s="42"/>
      <c r="E47" s="42"/>
      <c r="F47" s="42"/>
      <c r="G47" s="42"/>
      <c r="H47" s="42"/>
      <c r="I47" s="42"/>
      <c r="J47" s="42"/>
      <c r="K47" s="42"/>
      <c r="L47" s="42"/>
      <c r="M47" s="42"/>
      <c r="N47" s="42"/>
      <c r="O47" s="42"/>
      <c r="P47" s="42"/>
      <c r="Q47" s="42"/>
      <c r="R47" s="42"/>
      <c r="S47" s="42"/>
      <c r="T47" s="42"/>
      <c r="U47" s="42"/>
      <c r="V47" s="42"/>
      <c r="W47" s="42"/>
      <c r="X47" s="42"/>
      <c r="Y47" s="42"/>
      <c r="Z47" s="42"/>
      <c r="AA47" s="42"/>
      <c r="AB47" s="42"/>
      <c r="AC47" s="42"/>
      <c r="AD47" s="42"/>
      <c r="AE47" s="42"/>
      <c r="AF47" s="42"/>
      <c r="AG47" s="42"/>
      <c r="AH47" s="42"/>
      <c r="AI47" s="42"/>
      <c r="AJ47" s="42"/>
      <c r="AK47" s="42"/>
      <c r="AL47" s="42"/>
      <c r="AM47" s="42"/>
      <c r="AN47" s="42"/>
      <c r="AO47" s="42"/>
      <c r="AP47" s="42"/>
      <c r="AQ47" s="42"/>
      <c r="AR47" s="42"/>
      <c r="AS47" s="42"/>
      <c r="AT47" s="42"/>
      <c r="AU47" s="42"/>
      <c r="AV47" s="42"/>
      <c r="AW47" s="42"/>
      <c r="AX47" s="42"/>
      <c r="AY47" s="42"/>
      <c r="AZ47" s="42"/>
      <c r="BA47" s="42"/>
      <c r="BB47" s="42"/>
    </row>
    <row r="48" spans="1:54" x14ac:dyDescent="0.2">
      <c r="A48" s="42"/>
      <c r="B48" s="42"/>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2"/>
      <c r="AD48" s="42"/>
      <c r="AE48" s="42"/>
      <c r="AF48" s="42"/>
      <c r="AG48" s="42"/>
      <c r="AH48" s="42"/>
      <c r="AI48" s="42"/>
      <c r="AJ48" s="42"/>
      <c r="AK48" s="42"/>
      <c r="AL48" s="42"/>
      <c r="AM48" s="42"/>
      <c r="AN48" s="42"/>
      <c r="AO48" s="42"/>
      <c r="AP48" s="42"/>
      <c r="AQ48" s="42"/>
      <c r="AR48" s="42"/>
      <c r="AS48" s="42"/>
      <c r="AT48" s="42"/>
      <c r="AU48" s="42"/>
      <c r="AV48" s="42"/>
      <c r="AW48" s="42"/>
      <c r="AX48" s="42"/>
      <c r="AY48" s="42"/>
      <c r="AZ48" s="42"/>
      <c r="BA48" s="42"/>
      <c r="BB48" s="42"/>
    </row>
    <row r="49" spans="1:54" ht="13.5" thickBot="1" x14ac:dyDescent="0.25">
      <c r="A49" s="46" t="s">
        <v>209</v>
      </c>
      <c r="B49" s="22"/>
      <c r="C49" s="23">
        <v>4954.772997</v>
      </c>
      <c r="D49" s="23">
        <v>5102.3510630000001</v>
      </c>
      <c r="E49" s="23">
        <v>5203.2234029999991</v>
      </c>
      <c r="F49" s="23">
        <v>4985.800846000001</v>
      </c>
      <c r="G49" s="23">
        <v>4725.5710150000004</v>
      </c>
      <c r="H49" s="23">
        <v>4127.0788599999996</v>
      </c>
      <c r="I49" s="23">
        <v>4167.8102909999998</v>
      </c>
      <c r="J49" s="23">
        <v>4777.728314</v>
      </c>
      <c r="K49" s="23">
        <v>4963.5664540000007</v>
      </c>
      <c r="L49" s="23">
        <v>5107.1872640000001</v>
      </c>
      <c r="M49" s="23">
        <v>4828.6455170000008</v>
      </c>
      <c r="N49" s="23">
        <v>5011.1659010000003</v>
      </c>
      <c r="O49" s="23">
        <v>4570.6037530000003</v>
      </c>
      <c r="P49" s="23">
        <v>4983.2014959999988</v>
      </c>
      <c r="Q49" s="23">
        <v>4828.006922999999</v>
      </c>
      <c r="R49" s="23">
        <v>4644.1063700000004</v>
      </c>
      <c r="S49" s="23">
        <v>4595.0616000000009</v>
      </c>
      <c r="T49" s="23">
        <v>4624.5612109999993</v>
      </c>
      <c r="U49" s="23">
        <v>4539.1218060000001</v>
      </c>
      <c r="V49" s="23">
        <v>4489.0583269999997</v>
      </c>
      <c r="W49" s="23">
        <v>4375.8810510000003</v>
      </c>
      <c r="X49" s="23">
        <v>4589.7906140000005</v>
      </c>
      <c r="Y49" s="23">
        <v>4356.6886350000004</v>
      </c>
      <c r="Z49" s="23">
        <v>4482.0083019999993</v>
      </c>
      <c r="AA49" s="23">
        <v>4441.6799080000001</v>
      </c>
      <c r="AB49" s="23">
        <v>4018.1649589999997</v>
      </c>
      <c r="AC49" s="23">
        <v>3793.0773870000003</v>
      </c>
      <c r="AD49" s="23">
        <v>4004.7962419999999</v>
      </c>
      <c r="AE49" s="23">
        <v>4323.206161000001</v>
      </c>
      <c r="AF49" s="23">
        <v>4404.6698729999998</v>
      </c>
      <c r="AG49" s="23">
        <v>4180.5994150000006</v>
      </c>
      <c r="AH49" s="23">
        <v>4483.5689819999998</v>
      </c>
      <c r="AI49" s="23">
        <v>4323.8321260000002</v>
      </c>
      <c r="AJ49" s="23">
        <v>4231.4283459999997</v>
      </c>
      <c r="AK49" s="23">
        <v>4122.1295129999999</v>
      </c>
      <c r="AL49" s="23">
        <v>4062.1635140000003</v>
      </c>
      <c r="AM49" s="23">
        <v>4502.9272979999996</v>
      </c>
      <c r="AN49" s="23">
        <v>4532.6274050000002</v>
      </c>
      <c r="AO49" s="23">
        <v>4591.2646109999996</v>
      </c>
      <c r="AP49" s="23">
        <v>4740.6594839999989</v>
      </c>
      <c r="AQ49" s="23">
        <v>4439.3892669999996</v>
      </c>
      <c r="AR49" s="23">
        <v>4471.7070839999997</v>
      </c>
      <c r="AS49" s="23">
        <v>4522.6786660000007</v>
      </c>
      <c r="AT49" s="23">
        <v>4761.4819090000001</v>
      </c>
      <c r="AU49" s="23">
        <v>4487.1634269999995</v>
      </c>
      <c r="AV49" s="23">
        <v>4214.2418940000007</v>
      </c>
      <c r="AW49" s="23">
        <v>3683.3227259999999</v>
      </c>
      <c r="AX49" s="23">
        <v>4033.3956680000006</v>
      </c>
      <c r="AY49" s="23">
        <v>4316.8287930000006</v>
      </c>
      <c r="AZ49" s="23">
        <v>4633.1388200000001</v>
      </c>
      <c r="BA49" s="23">
        <v>4000.5549299999993</v>
      </c>
      <c r="BB49" s="23">
        <v>3182.47507</v>
      </c>
    </row>
    <row r="50" spans="1:54" ht="13.5" thickTop="1" x14ac:dyDescent="0.2">
      <c r="A50" s="42"/>
      <c r="B50" s="42"/>
      <c r="C50" s="43"/>
      <c r="D50" s="42"/>
      <c r="E50" s="42"/>
      <c r="F50" s="42"/>
      <c r="G50" s="42"/>
      <c r="H50" s="42"/>
      <c r="I50" s="42"/>
      <c r="J50" s="42"/>
      <c r="K50" s="42"/>
      <c r="L50" s="42"/>
      <c r="M50" s="42"/>
      <c r="N50" s="42"/>
      <c r="O50" s="42"/>
      <c r="P50" s="42"/>
      <c r="Q50" s="42"/>
      <c r="R50" s="42"/>
      <c r="S50" s="42"/>
      <c r="T50" s="42"/>
      <c r="U50" s="42"/>
      <c r="V50" s="42"/>
      <c r="W50" s="42"/>
      <c r="X50" s="42"/>
      <c r="Y50" s="42"/>
      <c r="Z50" s="42"/>
      <c r="AA50" s="42"/>
      <c r="AB50" s="42"/>
      <c r="AC50" s="42"/>
      <c r="AD50" s="42"/>
      <c r="AE50" s="42"/>
      <c r="AF50" s="42"/>
      <c r="AG50" s="42"/>
      <c r="AH50" s="42"/>
      <c r="AI50" s="42"/>
      <c r="AJ50" s="42"/>
      <c r="AK50" s="42"/>
      <c r="AL50" s="42"/>
      <c r="AM50" s="42"/>
      <c r="AN50" s="42"/>
      <c r="AO50" s="42"/>
      <c r="AP50" s="42"/>
      <c r="AQ50" s="42"/>
      <c r="AR50" s="42"/>
      <c r="AS50" s="42"/>
      <c r="AT50" s="42"/>
      <c r="AU50" s="42"/>
      <c r="AV50" s="42"/>
      <c r="AW50" s="42"/>
      <c r="AX50" s="42"/>
      <c r="AY50" s="42"/>
      <c r="AZ50" s="42"/>
      <c r="BA50" s="42"/>
      <c r="BB50" s="42"/>
    </row>
  </sheetData>
  <sheetProtection algorithmName="SHA-512" hashValue="Eounazwb5jGzBGTskyo02fklyy+Aa87QwJxGcNZ0cj1eBw3R8lmsDaQBErxAaa/x9+qqzUkpE6lENlVmvGf3wQ==" saltValue="prVCKJl7GE8xwixM54o3WQ==" spinCount="100000" sheet="1" objects="1" scenarios="1"/>
  <mergeCells count="1">
    <mergeCell ref="A1:BC1"/>
  </mergeCells>
  <pageMargins left="0.17" right="0.17" top="0.17" bottom="0.5" header="0.17" footer="0.5"/>
  <pageSetup scale="70" fitToWidth="0" orientation="landscape" r:id="rId1"/>
  <headerFooter alignWithMargins="0"/>
  <colBreaks count="3" manualBreakCount="3">
    <brk id="15" max="48" man="1"/>
    <brk id="28" max="48" man="1"/>
    <brk id="41" max="48" man="1"/>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9">
    <tabColor rgb="FFFF0000"/>
  </sheetPr>
  <dimension ref="A1:BC51"/>
  <sheetViews>
    <sheetView workbookViewId="0">
      <selection activeCell="C22" sqref="C22"/>
    </sheetView>
  </sheetViews>
  <sheetFormatPr defaultColWidth="6.7109375" defaultRowHeight="12.75" x14ac:dyDescent="0.2"/>
  <cols>
    <col min="1" max="1" width="7.28515625" style="42" customWidth="1"/>
    <col min="2" max="2" width="53" style="42" bestFit="1" customWidth="1"/>
    <col min="3" max="3" width="8.5703125" style="42" bestFit="1" customWidth="1"/>
    <col min="4" max="4" width="8.5703125" style="43" bestFit="1" customWidth="1"/>
    <col min="5" max="54" width="9.42578125" style="42" customWidth="1"/>
    <col min="55" max="55" width="8.85546875" style="42" customWidth="1"/>
    <col min="56" max="16384" width="6.7109375" style="42"/>
  </cols>
  <sheetData>
    <row r="1" spans="1:55" ht="49.9" customHeight="1" x14ac:dyDescent="0.4">
      <c r="A1" s="143" t="s">
        <v>214</v>
      </c>
      <c r="B1" s="144"/>
      <c r="C1" s="144"/>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c r="AH1" s="144"/>
      <c r="AI1" s="144"/>
      <c r="AJ1" s="144"/>
      <c r="AK1" s="144"/>
      <c r="AL1" s="144"/>
      <c r="AM1" s="144"/>
      <c r="AN1" s="144"/>
      <c r="AO1" s="144"/>
      <c r="AP1" s="144"/>
      <c r="AQ1" s="144"/>
      <c r="AR1" s="144"/>
      <c r="AS1" s="144"/>
      <c r="AT1" s="144"/>
      <c r="AU1" s="144"/>
      <c r="AV1" s="144"/>
      <c r="AW1" s="144"/>
      <c r="AX1" s="144"/>
      <c r="AY1" s="144"/>
      <c r="AZ1" s="144"/>
      <c r="BA1" s="144"/>
      <c r="BB1" s="144"/>
      <c r="BC1" s="144"/>
    </row>
    <row r="2" spans="1:55" ht="24" x14ac:dyDescent="0.2">
      <c r="A2" s="4"/>
      <c r="B2" s="50" t="s">
        <v>215</v>
      </c>
      <c r="C2" s="5">
        <v>1</v>
      </c>
      <c r="D2" s="5">
        <v>2</v>
      </c>
      <c r="E2" s="5">
        <v>3</v>
      </c>
      <c r="F2" s="5">
        <v>4</v>
      </c>
      <c r="G2" s="5">
        <v>5</v>
      </c>
      <c r="H2" s="5">
        <v>6</v>
      </c>
      <c r="I2" s="5">
        <v>7</v>
      </c>
      <c r="J2" s="5">
        <v>8</v>
      </c>
      <c r="K2" s="5">
        <v>9</v>
      </c>
      <c r="L2" s="5">
        <v>10</v>
      </c>
      <c r="M2" s="5">
        <v>11</v>
      </c>
      <c r="N2" s="5">
        <v>12</v>
      </c>
      <c r="O2" s="5">
        <v>13</v>
      </c>
      <c r="P2" s="5">
        <v>14</v>
      </c>
      <c r="Q2" s="5">
        <v>15</v>
      </c>
      <c r="R2" s="5">
        <v>16</v>
      </c>
      <c r="S2" s="5">
        <v>17</v>
      </c>
      <c r="T2" s="5">
        <v>18</v>
      </c>
      <c r="U2" s="5">
        <v>19</v>
      </c>
      <c r="V2" s="5">
        <v>20</v>
      </c>
      <c r="W2" s="5">
        <v>21</v>
      </c>
      <c r="X2" s="5">
        <v>22</v>
      </c>
      <c r="Y2" s="5">
        <v>23</v>
      </c>
      <c r="Z2" s="5">
        <v>24</v>
      </c>
      <c r="AA2" s="5">
        <v>25</v>
      </c>
      <c r="AB2" s="5">
        <v>26</v>
      </c>
      <c r="AC2" s="5">
        <v>27</v>
      </c>
      <c r="AD2" s="5">
        <v>28</v>
      </c>
      <c r="AE2" s="5">
        <v>29</v>
      </c>
      <c r="AF2" s="5">
        <v>30</v>
      </c>
      <c r="AG2" s="5">
        <v>31</v>
      </c>
      <c r="AH2" s="5">
        <v>32</v>
      </c>
      <c r="AI2" s="5">
        <v>33</v>
      </c>
      <c r="AJ2" s="5">
        <v>34</v>
      </c>
      <c r="AK2" s="5">
        <v>35</v>
      </c>
      <c r="AL2" s="5">
        <v>36</v>
      </c>
      <c r="AM2" s="5">
        <v>37</v>
      </c>
      <c r="AN2" s="5">
        <v>38</v>
      </c>
      <c r="AO2" s="5">
        <v>39</v>
      </c>
      <c r="AP2" s="5">
        <v>40</v>
      </c>
      <c r="AQ2" s="5">
        <v>41</v>
      </c>
      <c r="AR2" s="5">
        <v>42</v>
      </c>
      <c r="AS2" s="5">
        <v>43</v>
      </c>
      <c r="AT2" s="5">
        <v>44</v>
      </c>
      <c r="AU2" s="5">
        <v>45</v>
      </c>
      <c r="AV2" s="5">
        <v>46</v>
      </c>
      <c r="AW2" s="5">
        <v>47</v>
      </c>
      <c r="AX2" s="5">
        <v>48</v>
      </c>
      <c r="AY2" s="5">
        <v>49</v>
      </c>
      <c r="AZ2" s="5">
        <v>50</v>
      </c>
      <c r="BA2" s="5">
        <v>51</v>
      </c>
      <c r="BB2" s="5">
        <v>52</v>
      </c>
      <c r="BC2" s="5">
        <v>53</v>
      </c>
    </row>
    <row r="3" spans="1:55" ht="24.75" thickBot="1" x14ac:dyDescent="0.25">
      <c r="A3" s="4"/>
      <c r="B3" s="50" t="s">
        <v>216</v>
      </c>
      <c r="C3" s="41"/>
      <c r="D3" s="40">
        <v>1</v>
      </c>
      <c r="E3" s="40">
        <v>2</v>
      </c>
      <c r="F3" s="40">
        <v>3</v>
      </c>
      <c r="G3" s="40">
        <v>4</v>
      </c>
      <c r="H3" s="40">
        <v>5</v>
      </c>
      <c r="I3" s="40">
        <v>6</v>
      </c>
      <c r="J3" s="40">
        <v>7</v>
      </c>
      <c r="K3" s="40">
        <v>8</v>
      </c>
      <c r="L3" s="40">
        <v>9</v>
      </c>
      <c r="M3" s="40">
        <v>10</v>
      </c>
      <c r="N3" s="40">
        <v>11</v>
      </c>
      <c r="O3" s="40">
        <v>12</v>
      </c>
      <c r="P3" s="40">
        <v>13</v>
      </c>
      <c r="Q3" s="40">
        <v>14</v>
      </c>
      <c r="R3" s="40">
        <v>15</v>
      </c>
      <c r="S3" s="40">
        <v>16</v>
      </c>
      <c r="T3" s="40">
        <v>17</v>
      </c>
      <c r="U3" s="40">
        <v>18</v>
      </c>
      <c r="V3" s="40">
        <v>19</v>
      </c>
      <c r="W3" s="40">
        <v>20</v>
      </c>
      <c r="X3" s="40">
        <v>21</v>
      </c>
      <c r="Y3" s="40">
        <v>22</v>
      </c>
      <c r="Z3" s="40">
        <v>23</v>
      </c>
      <c r="AA3" s="40">
        <v>24</v>
      </c>
      <c r="AB3" s="40">
        <v>25</v>
      </c>
      <c r="AC3" s="40">
        <v>26</v>
      </c>
      <c r="AD3" s="40">
        <v>27</v>
      </c>
      <c r="AE3" s="40">
        <v>28</v>
      </c>
      <c r="AF3" s="40">
        <v>29</v>
      </c>
      <c r="AG3" s="40">
        <v>30</v>
      </c>
      <c r="AH3" s="40">
        <v>31</v>
      </c>
      <c r="AI3" s="40">
        <v>32</v>
      </c>
      <c r="AJ3" s="40">
        <v>33</v>
      </c>
      <c r="AK3" s="40">
        <v>34</v>
      </c>
      <c r="AL3" s="40">
        <v>35</v>
      </c>
      <c r="AM3" s="40">
        <v>36</v>
      </c>
      <c r="AN3" s="40">
        <v>37</v>
      </c>
      <c r="AO3" s="40">
        <v>38</v>
      </c>
      <c r="AP3" s="40">
        <v>39</v>
      </c>
      <c r="AQ3" s="40">
        <v>40</v>
      </c>
      <c r="AR3" s="40">
        <v>41</v>
      </c>
      <c r="AS3" s="40">
        <v>42</v>
      </c>
      <c r="AT3" s="40">
        <v>43</v>
      </c>
      <c r="AU3" s="40">
        <v>44</v>
      </c>
      <c r="AV3" s="40">
        <v>45</v>
      </c>
      <c r="AW3" s="40">
        <v>46</v>
      </c>
      <c r="AX3" s="40">
        <v>47</v>
      </c>
      <c r="AY3" s="40">
        <v>48</v>
      </c>
      <c r="AZ3" s="40">
        <v>49</v>
      </c>
      <c r="BA3" s="40">
        <v>50</v>
      </c>
      <c r="BB3" s="40">
        <v>51</v>
      </c>
      <c r="BC3" s="40">
        <v>52</v>
      </c>
    </row>
    <row r="4" spans="1:55" s="45" customFormat="1" thickBot="1" x14ac:dyDescent="0.25">
      <c r="A4" s="6"/>
      <c r="B4" s="50" t="s">
        <v>217</v>
      </c>
      <c r="C4" s="8">
        <v>43828</v>
      </c>
      <c r="D4" s="8">
        <v>43835</v>
      </c>
      <c r="E4" s="8">
        <v>43842</v>
      </c>
      <c r="F4" s="8">
        <v>43849</v>
      </c>
      <c r="G4" s="8">
        <v>43856</v>
      </c>
      <c r="H4" s="8">
        <v>43863</v>
      </c>
      <c r="I4" s="8">
        <v>43870</v>
      </c>
      <c r="J4" s="8">
        <v>43877</v>
      </c>
      <c r="K4" s="8">
        <v>43884</v>
      </c>
      <c r="L4" s="8">
        <v>43891</v>
      </c>
      <c r="M4" s="8">
        <v>43898</v>
      </c>
      <c r="N4" s="8">
        <v>43905</v>
      </c>
      <c r="O4" s="8">
        <v>43912</v>
      </c>
      <c r="P4" s="8">
        <v>43919</v>
      </c>
      <c r="Q4" s="8">
        <v>43926</v>
      </c>
      <c r="R4" s="8">
        <v>43933</v>
      </c>
      <c r="S4" s="8">
        <v>43940</v>
      </c>
      <c r="T4" s="8">
        <v>43947</v>
      </c>
      <c r="U4" s="8">
        <v>43954</v>
      </c>
      <c r="V4" s="8">
        <v>43961</v>
      </c>
      <c r="W4" s="8">
        <v>43968</v>
      </c>
      <c r="X4" s="8">
        <v>43975</v>
      </c>
      <c r="Y4" s="8">
        <v>43982</v>
      </c>
      <c r="Z4" s="8">
        <v>43989</v>
      </c>
      <c r="AA4" s="8">
        <v>43996</v>
      </c>
      <c r="AB4" s="8">
        <v>44003</v>
      </c>
      <c r="AC4" s="8">
        <v>44010</v>
      </c>
      <c r="AD4" s="8">
        <v>44017</v>
      </c>
      <c r="AE4" s="8">
        <v>44024</v>
      </c>
      <c r="AF4" s="8">
        <v>44031</v>
      </c>
      <c r="AG4" s="8">
        <v>44038</v>
      </c>
      <c r="AH4" s="8">
        <v>44045</v>
      </c>
      <c r="AI4" s="8">
        <v>44052</v>
      </c>
      <c r="AJ4" s="8">
        <v>44059</v>
      </c>
      <c r="AK4" s="8">
        <v>44066</v>
      </c>
      <c r="AL4" s="8">
        <v>44073</v>
      </c>
      <c r="AM4" s="8">
        <v>44080</v>
      </c>
      <c r="AN4" s="8">
        <v>44087</v>
      </c>
      <c r="AO4" s="8">
        <v>44094</v>
      </c>
      <c r="AP4" s="8">
        <v>44101</v>
      </c>
      <c r="AQ4" s="8">
        <v>44108</v>
      </c>
      <c r="AR4" s="8">
        <v>44115</v>
      </c>
      <c r="AS4" s="8">
        <v>44122</v>
      </c>
      <c r="AT4" s="8">
        <v>44129</v>
      </c>
      <c r="AU4" s="8">
        <v>44136</v>
      </c>
      <c r="AV4" s="8">
        <v>44143</v>
      </c>
      <c r="AW4" s="8">
        <v>44150</v>
      </c>
      <c r="AX4" s="8">
        <v>44157</v>
      </c>
      <c r="AY4" s="8">
        <v>44164</v>
      </c>
      <c r="AZ4" s="8">
        <v>44171</v>
      </c>
      <c r="BA4" s="8">
        <v>44178</v>
      </c>
      <c r="BB4" s="8">
        <v>44185</v>
      </c>
      <c r="BC4" s="8">
        <v>44192</v>
      </c>
    </row>
    <row r="5" spans="1:55" x14ac:dyDescent="0.2">
      <c r="A5" s="9" t="s">
        <v>180</v>
      </c>
      <c r="B5" s="10"/>
      <c r="C5" s="11">
        <v>5554</v>
      </c>
      <c r="D5" s="11">
        <v>6688</v>
      </c>
      <c r="E5" s="11">
        <v>5847</v>
      </c>
      <c r="F5" s="11">
        <v>6482</v>
      </c>
      <c r="G5" s="11">
        <v>6968</v>
      </c>
      <c r="H5" s="11">
        <v>6454</v>
      </c>
      <c r="I5" s="11">
        <v>6187</v>
      </c>
      <c r="J5" s="11">
        <v>5606</v>
      </c>
      <c r="K5" s="11">
        <v>6208</v>
      </c>
      <c r="L5" s="11">
        <v>6684</v>
      </c>
      <c r="M5" s="11">
        <v>6591</v>
      </c>
      <c r="N5" s="11">
        <v>7084</v>
      </c>
      <c r="O5" s="11">
        <v>7049</v>
      </c>
      <c r="P5" s="11">
        <v>6586</v>
      </c>
      <c r="Q5" s="11">
        <v>6762</v>
      </c>
      <c r="R5" s="11">
        <v>6270</v>
      </c>
      <c r="S5" s="11">
        <v>6136</v>
      </c>
      <c r="T5" s="11">
        <v>5989</v>
      </c>
      <c r="U5" s="11">
        <v>6120</v>
      </c>
      <c r="V5" s="11">
        <v>6224</v>
      </c>
      <c r="W5" s="11">
        <v>5874</v>
      </c>
      <c r="X5" s="11">
        <v>5975</v>
      </c>
      <c r="Y5" s="11">
        <v>5926</v>
      </c>
      <c r="Z5" s="11">
        <v>5830</v>
      </c>
      <c r="AA5" s="11">
        <v>6078</v>
      </c>
      <c r="AB5" s="11">
        <v>5669</v>
      </c>
      <c r="AC5" s="11">
        <v>6073</v>
      </c>
      <c r="AD5" s="11">
        <v>5933</v>
      </c>
      <c r="AE5" s="11">
        <v>5881</v>
      </c>
      <c r="AF5" s="11">
        <v>5742</v>
      </c>
      <c r="AG5" s="11">
        <v>6248</v>
      </c>
      <c r="AH5" s="11">
        <v>6024</v>
      </c>
      <c r="AI5" s="11">
        <v>6241</v>
      </c>
      <c r="AJ5" s="11">
        <v>6024</v>
      </c>
      <c r="AK5" s="11">
        <v>6580</v>
      </c>
      <c r="AL5" s="11">
        <v>6458</v>
      </c>
      <c r="AM5" s="11">
        <v>6136</v>
      </c>
      <c r="AN5" s="11">
        <v>6084</v>
      </c>
      <c r="AO5" s="11">
        <v>6125</v>
      </c>
      <c r="AP5" s="11">
        <v>6242</v>
      </c>
      <c r="AQ5" s="11">
        <v>6386</v>
      </c>
      <c r="AR5" s="11">
        <v>6138</v>
      </c>
      <c r="AS5" s="11">
        <v>5898</v>
      </c>
      <c r="AT5" s="11">
        <v>6265</v>
      </c>
      <c r="AU5" s="11">
        <v>6396</v>
      </c>
      <c r="AV5" s="11">
        <v>6261</v>
      </c>
      <c r="AW5" s="11">
        <v>6238</v>
      </c>
      <c r="AX5" s="11">
        <v>6496</v>
      </c>
      <c r="AY5" s="11">
        <v>6615</v>
      </c>
      <c r="AZ5" s="11">
        <v>6851</v>
      </c>
      <c r="BA5" s="11">
        <v>6236</v>
      </c>
      <c r="BB5" s="11">
        <v>5488</v>
      </c>
      <c r="BC5" s="11">
        <v>5961</v>
      </c>
    </row>
    <row r="6" spans="1:55" x14ac:dyDescent="0.2">
      <c r="A6" s="12"/>
      <c r="B6" s="15" t="s">
        <v>181</v>
      </c>
      <c r="C6" s="13">
        <v>1718</v>
      </c>
      <c r="D6" s="13">
        <v>2659</v>
      </c>
      <c r="E6" s="13">
        <v>2210</v>
      </c>
      <c r="F6" s="13">
        <v>2635</v>
      </c>
      <c r="G6" s="13">
        <v>2766</v>
      </c>
      <c r="H6" s="13">
        <v>2526</v>
      </c>
      <c r="I6" s="13">
        <v>2390</v>
      </c>
      <c r="J6" s="13">
        <v>2104</v>
      </c>
      <c r="K6" s="13">
        <v>2377</v>
      </c>
      <c r="L6" s="13">
        <v>2727</v>
      </c>
      <c r="M6" s="13">
        <v>2720</v>
      </c>
      <c r="N6" s="13">
        <v>2961</v>
      </c>
      <c r="O6" s="13">
        <v>2819</v>
      </c>
      <c r="P6" s="13">
        <v>2613</v>
      </c>
      <c r="Q6" s="13">
        <v>2563</v>
      </c>
      <c r="R6" s="13">
        <v>2487</v>
      </c>
      <c r="S6" s="13">
        <v>2305</v>
      </c>
      <c r="T6" s="13">
        <v>2080</v>
      </c>
      <c r="U6" s="13">
        <v>2247</v>
      </c>
      <c r="V6" s="13">
        <v>2482</v>
      </c>
      <c r="W6" s="13">
        <v>2180</v>
      </c>
      <c r="X6" s="13">
        <v>2432</v>
      </c>
      <c r="Y6" s="13">
        <v>2287</v>
      </c>
      <c r="Z6" s="13">
        <v>2441</v>
      </c>
      <c r="AA6" s="13">
        <v>2416</v>
      </c>
      <c r="AB6" s="13">
        <v>2207</v>
      </c>
      <c r="AC6" s="13">
        <v>2281</v>
      </c>
      <c r="AD6" s="13">
        <v>2283</v>
      </c>
      <c r="AE6" s="13">
        <v>2245</v>
      </c>
      <c r="AF6" s="13">
        <v>2217</v>
      </c>
      <c r="AG6" s="13">
        <v>2600</v>
      </c>
      <c r="AH6" s="13">
        <v>2320</v>
      </c>
      <c r="AI6" s="13">
        <v>2552</v>
      </c>
      <c r="AJ6" s="13">
        <v>2445</v>
      </c>
      <c r="AK6" s="13">
        <v>2683</v>
      </c>
      <c r="AL6" s="13">
        <v>2671</v>
      </c>
      <c r="AM6" s="13">
        <v>2444</v>
      </c>
      <c r="AN6" s="13">
        <v>2668</v>
      </c>
      <c r="AO6" s="13">
        <v>2725</v>
      </c>
      <c r="AP6" s="13">
        <v>2809</v>
      </c>
      <c r="AQ6" s="13">
        <v>2788</v>
      </c>
      <c r="AR6" s="13">
        <v>2577</v>
      </c>
      <c r="AS6" s="13">
        <v>2586</v>
      </c>
      <c r="AT6" s="13">
        <v>2716</v>
      </c>
      <c r="AU6" s="13">
        <v>2768</v>
      </c>
      <c r="AV6" s="13">
        <v>2568</v>
      </c>
      <c r="AW6" s="13">
        <v>2747</v>
      </c>
      <c r="AX6" s="13">
        <v>2713</v>
      </c>
      <c r="AY6" s="13">
        <v>2738</v>
      </c>
      <c r="AZ6" s="13">
        <v>2819</v>
      </c>
      <c r="BA6" s="13">
        <v>2742</v>
      </c>
      <c r="BB6" s="13">
        <v>2034</v>
      </c>
      <c r="BC6" s="13">
        <v>2166</v>
      </c>
    </row>
    <row r="7" spans="1:55" x14ac:dyDescent="0.2">
      <c r="A7" s="12"/>
      <c r="B7" s="15" t="s">
        <v>182</v>
      </c>
      <c r="C7" s="13">
        <v>667</v>
      </c>
      <c r="D7" s="13">
        <v>939</v>
      </c>
      <c r="E7" s="13">
        <v>806</v>
      </c>
      <c r="F7" s="13">
        <v>953</v>
      </c>
      <c r="G7" s="13">
        <v>1112</v>
      </c>
      <c r="H7" s="13">
        <v>986</v>
      </c>
      <c r="I7" s="13">
        <v>1073</v>
      </c>
      <c r="J7" s="13">
        <v>816</v>
      </c>
      <c r="K7" s="13">
        <v>986</v>
      </c>
      <c r="L7" s="13">
        <v>907</v>
      </c>
      <c r="M7" s="13">
        <v>1137</v>
      </c>
      <c r="N7" s="13">
        <v>1154</v>
      </c>
      <c r="O7" s="13">
        <v>1135</v>
      </c>
      <c r="P7" s="13">
        <v>922</v>
      </c>
      <c r="Q7" s="13">
        <v>949</v>
      </c>
      <c r="R7" s="13">
        <v>788</v>
      </c>
      <c r="S7" s="13">
        <v>875</v>
      </c>
      <c r="T7" s="13">
        <v>997</v>
      </c>
      <c r="U7" s="13">
        <v>1028</v>
      </c>
      <c r="V7" s="13">
        <v>861</v>
      </c>
      <c r="W7" s="13">
        <v>868</v>
      </c>
      <c r="X7" s="13">
        <v>993</v>
      </c>
      <c r="Y7" s="13">
        <v>1013</v>
      </c>
      <c r="Z7" s="13">
        <v>957</v>
      </c>
      <c r="AA7" s="13">
        <v>1068</v>
      </c>
      <c r="AB7" s="13">
        <v>850</v>
      </c>
      <c r="AC7" s="13">
        <v>1161</v>
      </c>
      <c r="AD7" s="13">
        <v>1093</v>
      </c>
      <c r="AE7" s="13">
        <v>1130</v>
      </c>
      <c r="AF7" s="13">
        <v>927</v>
      </c>
      <c r="AG7" s="13">
        <v>1077</v>
      </c>
      <c r="AH7" s="13">
        <v>924</v>
      </c>
      <c r="AI7" s="13">
        <v>1041</v>
      </c>
      <c r="AJ7" s="13">
        <v>1013</v>
      </c>
      <c r="AK7" s="13">
        <v>1041</v>
      </c>
      <c r="AL7" s="13">
        <v>1126</v>
      </c>
      <c r="AM7" s="13">
        <v>957</v>
      </c>
      <c r="AN7" s="13">
        <v>941</v>
      </c>
      <c r="AO7" s="13">
        <v>952</v>
      </c>
      <c r="AP7" s="13">
        <v>854</v>
      </c>
      <c r="AQ7" s="13">
        <v>932</v>
      </c>
      <c r="AR7" s="13">
        <v>1030</v>
      </c>
      <c r="AS7" s="13">
        <v>904</v>
      </c>
      <c r="AT7" s="13">
        <v>1003</v>
      </c>
      <c r="AU7" s="13">
        <v>1015</v>
      </c>
      <c r="AV7" s="13">
        <v>997</v>
      </c>
      <c r="AW7" s="13">
        <v>857</v>
      </c>
      <c r="AX7" s="13">
        <v>887</v>
      </c>
      <c r="AY7" s="13">
        <v>1028</v>
      </c>
      <c r="AZ7" s="13">
        <v>1163</v>
      </c>
      <c r="BA7" s="13">
        <v>936</v>
      </c>
      <c r="BB7" s="13">
        <v>704</v>
      </c>
      <c r="BC7" s="13">
        <v>763</v>
      </c>
    </row>
    <row r="8" spans="1:55" x14ac:dyDescent="0.2">
      <c r="A8" s="12"/>
      <c r="B8" s="15" t="s">
        <v>183</v>
      </c>
      <c r="C8" s="13">
        <v>3169</v>
      </c>
      <c r="D8" s="13">
        <v>3090</v>
      </c>
      <c r="E8" s="13">
        <v>2831</v>
      </c>
      <c r="F8" s="13">
        <v>2894</v>
      </c>
      <c r="G8" s="13">
        <v>3090</v>
      </c>
      <c r="H8" s="13">
        <v>2942</v>
      </c>
      <c r="I8" s="13">
        <v>2724</v>
      </c>
      <c r="J8" s="13">
        <v>2686</v>
      </c>
      <c r="K8" s="13">
        <v>2845</v>
      </c>
      <c r="L8" s="13">
        <v>3050</v>
      </c>
      <c r="M8" s="13">
        <v>2734</v>
      </c>
      <c r="N8" s="13">
        <v>2969</v>
      </c>
      <c r="O8" s="13">
        <v>3095</v>
      </c>
      <c r="P8" s="13">
        <v>3051</v>
      </c>
      <c r="Q8" s="13">
        <v>3250</v>
      </c>
      <c r="R8" s="13">
        <v>2995</v>
      </c>
      <c r="S8" s="13">
        <v>2956</v>
      </c>
      <c r="T8" s="13">
        <v>2912</v>
      </c>
      <c r="U8" s="13">
        <v>2845</v>
      </c>
      <c r="V8" s="13">
        <v>2881</v>
      </c>
      <c r="W8" s="13">
        <v>2826</v>
      </c>
      <c r="X8" s="13">
        <v>2550</v>
      </c>
      <c r="Y8" s="13">
        <v>2626</v>
      </c>
      <c r="Z8" s="13">
        <v>2432</v>
      </c>
      <c r="AA8" s="13">
        <v>2594</v>
      </c>
      <c r="AB8" s="13">
        <v>2612</v>
      </c>
      <c r="AC8" s="13">
        <v>2631</v>
      </c>
      <c r="AD8" s="13">
        <v>2557</v>
      </c>
      <c r="AE8" s="13">
        <v>2506</v>
      </c>
      <c r="AF8" s="13">
        <v>2598</v>
      </c>
      <c r="AG8" s="13">
        <v>2571</v>
      </c>
      <c r="AH8" s="13">
        <v>2780</v>
      </c>
      <c r="AI8" s="13">
        <v>2648</v>
      </c>
      <c r="AJ8" s="13">
        <v>2566</v>
      </c>
      <c r="AK8" s="13">
        <v>2856</v>
      </c>
      <c r="AL8" s="13">
        <v>2661</v>
      </c>
      <c r="AM8" s="13">
        <v>2735</v>
      </c>
      <c r="AN8" s="13">
        <v>2475</v>
      </c>
      <c r="AO8" s="13">
        <v>2448</v>
      </c>
      <c r="AP8" s="13">
        <v>2579</v>
      </c>
      <c r="AQ8" s="13">
        <v>2666</v>
      </c>
      <c r="AR8" s="13">
        <v>2531</v>
      </c>
      <c r="AS8" s="13">
        <v>2408</v>
      </c>
      <c r="AT8" s="13">
        <v>2546</v>
      </c>
      <c r="AU8" s="13">
        <v>2613</v>
      </c>
      <c r="AV8" s="13">
        <v>2696</v>
      </c>
      <c r="AW8" s="13">
        <v>2634</v>
      </c>
      <c r="AX8" s="13">
        <v>2896</v>
      </c>
      <c r="AY8" s="13">
        <v>2849</v>
      </c>
      <c r="AZ8" s="13">
        <v>2869</v>
      </c>
      <c r="BA8" s="13">
        <v>2558</v>
      </c>
      <c r="BB8" s="13">
        <v>2750</v>
      </c>
      <c r="BC8" s="13">
        <v>3032</v>
      </c>
    </row>
    <row r="9" spans="1:55" x14ac:dyDescent="0.2">
      <c r="A9" s="12"/>
      <c r="B9" s="15"/>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row>
    <row r="10" spans="1:55" x14ac:dyDescent="0.2">
      <c r="A10" s="16" t="s">
        <v>184</v>
      </c>
      <c r="B10" s="12"/>
      <c r="C10" s="11">
        <v>17631</v>
      </c>
      <c r="D10" s="11">
        <v>17357</v>
      </c>
      <c r="E10" s="11">
        <v>15124</v>
      </c>
      <c r="F10" s="11">
        <v>17110</v>
      </c>
      <c r="G10" s="11">
        <v>18543</v>
      </c>
      <c r="H10" s="11">
        <v>17049</v>
      </c>
      <c r="I10" s="11">
        <v>14519</v>
      </c>
      <c r="J10" s="11">
        <v>16076</v>
      </c>
      <c r="K10" s="11">
        <v>15991</v>
      </c>
      <c r="L10" s="11">
        <v>17090</v>
      </c>
      <c r="M10" s="11">
        <v>17082</v>
      </c>
      <c r="N10" s="11">
        <v>18037</v>
      </c>
      <c r="O10" s="11">
        <v>15594</v>
      </c>
      <c r="P10" s="11">
        <v>15170</v>
      </c>
      <c r="Q10" s="11">
        <v>14246</v>
      </c>
      <c r="R10" s="11">
        <v>13883</v>
      </c>
      <c r="S10" s="11">
        <v>13533</v>
      </c>
      <c r="T10" s="11">
        <v>13439</v>
      </c>
      <c r="U10" s="11">
        <v>13722</v>
      </c>
      <c r="V10" s="11">
        <v>13627</v>
      </c>
      <c r="W10" s="11">
        <v>13380</v>
      </c>
      <c r="X10" s="11">
        <v>13523</v>
      </c>
      <c r="Y10" s="11">
        <v>12085</v>
      </c>
      <c r="Z10" s="11">
        <v>12958</v>
      </c>
      <c r="AA10" s="11">
        <v>13360</v>
      </c>
      <c r="AB10" s="11">
        <v>11821</v>
      </c>
      <c r="AC10" s="11">
        <v>12268</v>
      </c>
      <c r="AD10" s="11">
        <v>12834</v>
      </c>
      <c r="AE10" s="11">
        <v>12891</v>
      </c>
      <c r="AF10" s="11">
        <v>13494</v>
      </c>
      <c r="AG10" s="11">
        <v>13594</v>
      </c>
      <c r="AH10" s="11">
        <v>13408</v>
      </c>
      <c r="AI10" s="11">
        <v>13671</v>
      </c>
      <c r="AJ10" s="11">
        <v>13116</v>
      </c>
      <c r="AK10" s="11">
        <v>12395</v>
      </c>
      <c r="AL10" s="11">
        <v>14422</v>
      </c>
      <c r="AM10" s="11">
        <v>13440</v>
      </c>
      <c r="AN10" s="11">
        <v>14248</v>
      </c>
      <c r="AO10" s="11">
        <v>14392</v>
      </c>
      <c r="AP10" s="11">
        <v>15071</v>
      </c>
      <c r="AQ10" s="11">
        <v>14949</v>
      </c>
      <c r="AR10" s="11">
        <v>15191</v>
      </c>
      <c r="AS10" s="11">
        <v>14518</v>
      </c>
      <c r="AT10" s="11">
        <v>14615</v>
      </c>
      <c r="AU10" s="11">
        <v>15444</v>
      </c>
      <c r="AV10" s="11">
        <v>15632</v>
      </c>
      <c r="AW10" s="11">
        <v>15453</v>
      </c>
      <c r="AX10" s="11">
        <v>15873</v>
      </c>
      <c r="AY10" s="11">
        <v>16374</v>
      </c>
      <c r="AZ10" s="11">
        <v>16234</v>
      </c>
      <c r="BA10" s="11">
        <v>15425</v>
      </c>
      <c r="BB10" s="11">
        <v>14339</v>
      </c>
      <c r="BC10" s="11">
        <v>14288</v>
      </c>
    </row>
    <row r="11" spans="1:55" x14ac:dyDescent="0.2">
      <c r="A11" s="12"/>
      <c r="B11" s="15" t="s">
        <v>185</v>
      </c>
      <c r="C11" s="13">
        <v>8881</v>
      </c>
      <c r="D11" s="13">
        <v>8381</v>
      </c>
      <c r="E11" s="13">
        <v>7554</v>
      </c>
      <c r="F11" s="13">
        <v>8552</v>
      </c>
      <c r="G11" s="13">
        <v>9011</v>
      </c>
      <c r="H11" s="13">
        <v>8279</v>
      </c>
      <c r="I11" s="13">
        <v>8342</v>
      </c>
      <c r="J11" s="13">
        <v>8818</v>
      </c>
      <c r="K11" s="13">
        <v>8730</v>
      </c>
      <c r="L11" s="13">
        <v>8865</v>
      </c>
      <c r="M11" s="13">
        <v>9489</v>
      </c>
      <c r="N11" s="13">
        <v>9904</v>
      </c>
      <c r="O11" s="13">
        <v>8972</v>
      </c>
      <c r="P11" s="13">
        <v>8972</v>
      </c>
      <c r="Q11" s="13">
        <v>8516</v>
      </c>
      <c r="R11" s="13">
        <v>8348</v>
      </c>
      <c r="S11" s="13">
        <v>8137</v>
      </c>
      <c r="T11" s="13">
        <v>7817</v>
      </c>
      <c r="U11" s="13">
        <v>8303</v>
      </c>
      <c r="V11" s="13">
        <v>8183</v>
      </c>
      <c r="W11" s="13">
        <v>8255</v>
      </c>
      <c r="X11" s="13">
        <v>7890</v>
      </c>
      <c r="Y11" s="13">
        <v>7342</v>
      </c>
      <c r="Z11" s="13">
        <v>7518</v>
      </c>
      <c r="AA11" s="13">
        <v>7979</v>
      </c>
      <c r="AB11" s="13">
        <v>7009</v>
      </c>
      <c r="AC11" s="13">
        <v>6845</v>
      </c>
      <c r="AD11" s="13">
        <v>7681</v>
      </c>
      <c r="AE11" s="13">
        <v>7033</v>
      </c>
      <c r="AF11" s="13">
        <v>7731</v>
      </c>
      <c r="AG11" s="13">
        <v>8124</v>
      </c>
      <c r="AH11" s="13">
        <v>7862</v>
      </c>
      <c r="AI11" s="13">
        <v>8197</v>
      </c>
      <c r="AJ11" s="13">
        <v>7833</v>
      </c>
      <c r="AK11" s="13">
        <v>7848</v>
      </c>
      <c r="AL11" s="13">
        <v>8697</v>
      </c>
      <c r="AM11" s="13">
        <v>8192</v>
      </c>
      <c r="AN11" s="13">
        <v>8470</v>
      </c>
      <c r="AO11" s="13">
        <v>8549</v>
      </c>
      <c r="AP11" s="13">
        <v>8551</v>
      </c>
      <c r="AQ11" s="13">
        <v>8783</v>
      </c>
      <c r="AR11" s="13">
        <v>8898</v>
      </c>
      <c r="AS11" s="13">
        <v>8110</v>
      </c>
      <c r="AT11" s="13">
        <v>8305</v>
      </c>
      <c r="AU11" s="13">
        <v>8352</v>
      </c>
      <c r="AV11" s="13">
        <v>8503</v>
      </c>
      <c r="AW11" s="13">
        <v>7987</v>
      </c>
      <c r="AX11" s="13">
        <v>8707</v>
      </c>
      <c r="AY11" s="13">
        <v>9108</v>
      </c>
      <c r="AZ11" s="13">
        <v>9015</v>
      </c>
      <c r="BA11" s="13">
        <v>8429</v>
      </c>
      <c r="BB11" s="13">
        <v>8280</v>
      </c>
      <c r="BC11" s="13">
        <v>8410</v>
      </c>
    </row>
    <row r="12" spans="1:55" x14ac:dyDescent="0.2">
      <c r="A12" s="12"/>
      <c r="B12" s="15" t="s">
        <v>186</v>
      </c>
      <c r="C12" s="13">
        <v>7840</v>
      </c>
      <c r="D12" s="13">
        <v>8047</v>
      </c>
      <c r="E12" s="13">
        <v>6573</v>
      </c>
      <c r="F12" s="13">
        <v>7749</v>
      </c>
      <c r="G12" s="13">
        <v>8610</v>
      </c>
      <c r="H12" s="13">
        <v>7859</v>
      </c>
      <c r="I12" s="13">
        <v>5393</v>
      </c>
      <c r="J12" s="13">
        <v>6276</v>
      </c>
      <c r="K12" s="13">
        <v>6105</v>
      </c>
      <c r="L12" s="13">
        <v>7360</v>
      </c>
      <c r="M12" s="13">
        <v>6485</v>
      </c>
      <c r="N12" s="13">
        <v>6982</v>
      </c>
      <c r="O12" s="13">
        <v>5551</v>
      </c>
      <c r="P12" s="13">
        <v>5224</v>
      </c>
      <c r="Q12" s="13">
        <v>4570</v>
      </c>
      <c r="R12" s="13">
        <v>4315</v>
      </c>
      <c r="S12" s="13">
        <v>4166</v>
      </c>
      <c r="T12" s="13">
        <v>4300</v>
      </c>
      <c r="U12" s="13">
        <v>4271</v>
      </c>
      <c r="V12" s="13">
        <v>4165</v>
      </c>
      <c r="W12" s="13">
        <v>4324</v>
      </c>
      <c r="X12" s="13">
        <v>4568</v>
      </c>
      <c r="Y12" s="13">
        <v>3825</v>
      </c>
      <c r="Z12" s="13">
        <v>4445</v>
      </c>
      <c r="AA12" s="13">
        <v>4240</v>
      </c>
      <c r="AB12" s="13">
        <v>3961</v>
      </c>
      <c r="AC12" s="13">
        <v>4511</v>
      </c>
      <c r="AD12" s="13">
        <v>4359</v>
      </c>
      <c r="AE12" s="13">
        <v>4849</v>
      </c>
      <c r="AF12" s="13">
        <v>4673</v>
      </c>
      <c r="AG12" s="13">
        <v>4412</v>
      </c>
      <c r="AH12" s="13">
        <v>4705</v>
      </c>
      <c r="AI12" s="13">
        <v>4492</v>
      </c>
      <c r="AJ12" s="13">
        <v>4493</v>
      </c>
      <c r="AK12" s="13">
        <v>4040</v>
      </c>
      <c r="AL12" s="13">
        <v>4836</v>
      </c>
      <c r="AM12" s="13">
        <v>4261</v>
      </c>
      <c r="AN12" s="13">
        <v>4789</v>
      </c>
      <c r="AO12" s="13">
        <v>4904</v>
      </c>
      <c r="AP12" s="13">
        <v>5448</v>
      </c>
      <c r="AQ12" s="13">
        <v>5005</v>
      </c>
      <c r="AR12" s="13">
        <v>5230</v>
      </c>
      <c r="AS12" s="13">
        <v>5230</v>
      </c>
      <c r="AT12" s="13">
        <v>4923</v>
      </c>
      <c r="AU12" s="13">
        <v>5848</v>
      </c>
      <c r="AV12" s="13">
        <v>6043</v>
      </c>
      <c r="AW12" s="13">
        <v>6121</v>
      </c>
      <c r="AX12" s="13">
        <v>5880</v>
      </c>
      <c r="AY12" s="13">
        <v>6039</v>
      </c>
      <c r="AZ12" s="13">
        <v>5907</v>
      </c>
      <c r="BA12" s="13">
        <v>5921</v>
      </c>
      <c r="BB12" s="13">
        <v>5320</v>
      </c>
      <c r="BC12" s="13">
        <v>5176</v>
      </c>
    </row>
    <row r="13" spans="1:55" x14ac:dyDescent="0.2">
      <c r="A13" s="12"/>
      <c r="B13" s="15" t="s">
        <v>187</v>
      </c>
      <c r="C13" s="13">
        <v>910</v>
      </c>
      <c r="D13" s="13">
        <v>929</v>
      </c>
      <c r="E13" s="13">
        <v>997</v>
      </c>
      <c r="F13" s="13">
        <v>809</v>
      </c>
      <c r="G13" s="13">
        <v>922</v>
      </c>
      <c r="H13" s="13">
        <v>911</v>
      </c>
      <c r="I13" s="13">
        <v>784</v>
      </c>
      <c r="J13" s="13">
        <v>982</v>
      </c>
      <c r="K13" s="13">
        <v>1156</v>
      </c>
      <c r="L13" s="13">
        <v>865</v>
      </c>
      <c r="M13" s="13">
        <v>1108</v>
      </c>
      <c r="N13" s="13">
        <v>1151</v>
      </c>
      <c r="O13" s="13">
        <v>1071</v>
      </c>
      <c r="P13" s="13">
        <v>974</v>
      </c>
      <c r="Q13" s="13">
        <v>1160</v>
      </c>
      <c r="R13" s="13">
        <v>1220</v>
      </c>
      <c r="S13" s="13">
        <v>1230</v>
      </c>
      <c r="T13" s="13">
        <v>1322</v>
      </c>
      <c r="U13" s="13">
        <v>1148</v>
      </c>
      <c r="V13" s="13">
        <v>1279</v>
      </c>
      <c r="W13" s="13">
        <v>801</v>
      </c>
      <c r="X13" s="13">
        <v>1065</v>
      </c>
      <c r="Y13" s="13">
        <v>918</v>
      </c>
      <c r="Z13" s="13">
        <v>995</v>
      </c>
      <c r="AA13" s="13">
        <v>1141</v>
      </c>
      <c r="AB13" s="13">
        <v>851</v>
      </c>
      <c r="AC13" s="13">
        <v>912</v>
      </c>
      <c r="AD13" s="13">
        <v>794</v>
      </c>
      <c r="AE13" s="13">
        <v>1009</v>
      </c>
      <c r="AF13" s="13">
        <v>1090</v>
      </c>
      <c r="AG13" s="13">
        <v>1058</v>
      </c>
      <c r="AH13" s="13">
        <v>841</v>
      </c>
      <c r="AI13" s="13">
        <v>982</v>
      </c>
      <c r="AJ13" s="13">
        <v>790</v>
      </c>
      <c r="AK13" s="13">
        <v>507</v>
      </c>
      <c r="AL13" s="13">
        <v>889</v>
      </c>
      <c r="AM13" s="13">
        <v>987</v>
      </c>
      <c r="AN13" s="13">
        <v>989</v>
      </c>
      <c r="AO13" s="13">
        <v>939</v>
      </c>
      <c r="AP13" s="13">
        <v>1072</v>
      </c>
      <c r="AQ13" s="13">
        <v>1161</v>
      </c>
      <c r="AR13" s="13">
        <v>1063</v>
      </c>
      <c r="AS13" s="13">
        <v>1178</v>
      </c>
      <c r="AT13" s="13">
        <v>1387</v>
      </c>
      <c r="AU13" s="13">
        <v>1244</v>
      </c>
      <c r="AV13" s="13">
        <v>1086</v>
      </c>
      <c r="AW13" s="13">
        <v>1345</v>
      </c>
      <c r="AX13" s="13">
        <v>1286</v>
      </c>
      <c r="AY13" s="13">
        <v>1227</v>
      </c>
      <c r="AZ13" s="13">
        <v>1312</v>
      </c>
      <c r="BA13" s="13">
        <v>1075</v>
      </c>
      <c r="BB13" s="13">
        <v>739</v>
      </c>
      <c r="BC13" s="13">
        <v>702</v>
      </c>
    </row>
    <row r="14" spans="1:55" x14ac:dyDescent="0.2">
      <c r="A14" s="12"/>
      <c r="B14" s="15"/>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3"/>
      <c r="AM14" s="13"/>
      <c r="AN14" s="13"/>
      <c r="AO14" s="13"/>
      <c r="AP14" s="13"/>
      <c r="AQ14" s="13"/>
      <c r="AR14" s="13"/>
      <c r="AS14" s="13"/>
      <c r="AT14" s="13"/>
      <c r="AU14" s="13"/>
      <c r="AV14" s="13"/>
      <c r="AW14" s="13"/>
      <c r="AX14" s="13"/>
      <c r="AY14" s="13"/>
      <c r="AZ14" s="13"/>
      <c r="BA14" s="13"/>
      <c r="BB14" s="13"/>
      <c r="BC14" s="13"/>
    </row>
    <row r="15" spans="1:55" x14ac:dyDescent="0.2">
      <c r="A15" s="9" t="s">
        <v>188</v>
      </c>
      <c r="B15" s="17"/>
      <c r="C15" s="11">
        <v>16038</v>
      </c>
      <c r="D15" s="11">
        <v>15541</v>
      </c>
      <c r="E15" s="11">
        <v>16354</v>
      </c>
      <c r="F15" s="11">
        <v>16987</v>
      </c>
      <c r="G15" s="11">
        <v>17633</v>
      </c>
      <c r="H15" s="11">
        <v>17345</v>
      </c>
      <c r="I15" s="11">
        <v>17224</v>
      </c>
      <c r="J15" s="11">
        <v>16960</v>
      </c>
      <c r="K15" s="11">
        <v>17451</v>
      </c>
      <c r="L15" s="11">
        <v>18244</v>
      </c>
      <c r="M15" s="11">
        <v>18356</v>
      </c>
      <c r="N15" s="11">
        <v>17606</v>
      </c>
      <c r="O15" s="11">
        <v>18297</v>
      </c>
      <c r="P15" s="11">
        <v>16263</v>
      </c>
      <c r="Q15" s="11">
        <v>16547</v>
      </c>
      <c r="R15" s="11">
        <v>15709</v>
      </c>
      <c r="S15" s="11">
        <v>15486</v>
      </c>
      <c r="T15" s="11">
        <v>14623</v>
      </c>
      <c r="U15" s="11">
        <v>12978</v>
      </c>
      <c r="V15" s="11">
        <v>12246</v>
      </c>
      <c r="W15" s="11">
        <v>14076</v>
      </c>
      <c r="X15" s="11">
        <v>13686</v>
      </c>
      <c r="Y15" s="11">
        <v>13402</v>
      </c>
      <c r="Z15" s="11">
        <v>14947</v>
      </c>
      <c r="AA15" s="11">
        <v>14677</v>
      </c>
      <c r="AB15" s="11">
        <v>15481</v>
      </c>
      <c r="AC15" s="11">
        <v>16068</v>
      </c>
      <c r="AD15" s="11">
        <v>14651</v>
      </c>
      <c r="AE15" s="11">
        <v>14939</v>
      </c>
      <c r="AF15" s="11">
        <v>15579</v>
      </c>
      <c r="AG15" s="11">
        <v>15073</v>
      </c>
      <c r="AH15" s="11">
        <v>16337</v>
      </c>
      <c r="AI15" s="11">
        <v>15699</v>
      </c>
      <c r="AJ15" s="11">
        <v>15272</v>
      </c>
      <c r="AK15" s="11">
        <v>15882</v>
      </c>
      <c r="AL15" s="11">
        <v>18114</v>
      </c>
      <c r="AM15" s="11">
        <v>17990</v>
      </c>
      <c r="AN15" s="11">
        <v>19209</v>
      </c>
      <c r="AO15" s="11">
        <v>17355</v>
      </c>
      <c r="AP15" s="11">
        <v>17035</v>
      </c>
      <c r="AQ15" s="11">
        <v>16770</v>
      </c>
      <c r="AR15" s="11">
        <v>17685</v>
      </c>
      <c r="AS15" s="11">
        <v>17005</v>
      </c>
      <c r="AT15" s="11">
        <v>11189</v>
      </c>
      <c r="AU15" s="11">
        <v>14004</v>
      </c>
      <c r="AV15" s="11">
        <v>16870</v>
      </c>
      <c r="AW15" s="11">
        <v>16955</v>
      </c>
      <c r="AX15" s="11">
        <v>15904</v>
      </c>
      <c r="AY15" s="11">
        <v>16747</v>
      </c>
      <c r="AZ15" s="11">
        <v>17565</v>
      </c>
      <c r="BA15" s="11">
        <v>16891</v>
      </c>
      <c r="BB15" s="11">
        <v>13469</v>
      </c>
      <c r="BC15" s="11">
        <v>15857</v>
      </c>
    </row>
    <row r="16" spans="1:55" x14ac:dyDescent="0.2">
      <c r="A16" s="12"/>
      <c r="B16" s="15" t="s">
        <v>189</v>
      </c>
      <c r="C16" s="13">
        <v>2647</v>
      </c>
      <c r="D16" s="13">
        <v>2697</v>
      </c>
      <c r="E16" s="13">
        <v>2229</v>
      </c>
      <c r="F16" s="13">
        <v>2475</v>
      </c>
      <c r="G16" s="13">
        <v>2363</v>
      </c>
      <c r="H16" s="13">
        <v>2594</v>
      </c>
      <c r="I16" s="13">
        <v>2525</v>
      </c>
      <c r="J16" s="13">
        <v>2776</v>
      </c>
      <c r="K16" s="13">
        <v>2758</v>
      </c>
      <c r="L16" s="13">
        <v>3003</v>
      </c>
      <c r="M16" s="13">
        <v>2549</v>
      </c>
      <c r="N16" s="13">
        <v>2571</v>
      </c>
      <c r="O16" s="13">
        <v>2396</v>
      </c>
      <c r="P16" s="13">
        <v>2165</v>
      </c>
      <c r="Q16" s="13">
        <v>2601</v>
      </c>
      <c r="R16" s="13">
        <v>1436</v>
      </c>
      <c r="S16" s="13">
        <v>1832</v>
      </c>
      <c r="T16" s="13">
        <v>1472</v>
      </c>
      <c r="U16" s="13">
        <v>1335</v>
      </c>
      <c r="V16" s="13">
        <v>998</v>
      </c>
      <c r="W16" s="13">
        <v>1187</v>
      </c>
      <c r="X16" s="13">
        <v>1154</v>
      </c>
      <c r="Y16" s="13">
        <v>1527</v>
      </c>
      <c r="Z16" s="13">
        <v>1798</v>
      </c>
      <c r="AA16" s="13">
        <v>1595</v>
      </c>
      <c r="AB16" s="13">
        <v>1734</v>
      </c>
      <c r="AC16" s="13">
        <v>1816</v>
      </c>
      <c r="AD16" s="13">
        <v>2010</v>
      </c>
      <c r="AE16" s="13">
        <v>2112</v>
      </c>
      <c r="AF16" s="13">
        <v>1943</v>
      </c>
      <c r="AG16" s="13">
        <v>2183</v>
      </c>
      <c r="AH16" s="13">
        <v>2515</v>
      </c>
      <c r="AI16" s="13">
        <v>2926</v>
      </c>
      <c r="AJ16" s="13">
        <v>2373</v>
      </c>
      <c r="AK16" s="13">
        <v>3042</v>
      </c>
      <c r="AL16" s="13">
        <v>2586</v>
      </c>
      <c r="AM16" s="13">
        <v>2907</v>
      </c>
      <c r="AN16" s="13">
        <v>3126</v>
      </c>
      <c r="AO16" s="13">
        <v>2666</v>
      </c>
      <c r="AP16" s="13">
        <v>2716</v>
      </c>
      <c r="AQ16" s="13">
        <v>2504</v>
      </c>
      <c r="AR16" s="13">
        <v>2048</v>
      </c>
      <c r="AS16" s="13">
        <v>1669</v>
      </c>
      <c r="AT16" s="13">
        <v>1857</v>
      </c>
      <c r="AU16" s="13">
        <v>1773</v>
      </c>
      <c r="AV16" s="13">
        <v>1623</v>
      </c>
      <c r="AW16" s="13">
        <v>2360</v>
      </c>
      <c r="AX16" s="13">
        <v>1400</v>
      </c>
      <c r="AY16" s="13">
        <v>2062</v>
      </c>
      <c r="AZ16" s="13">
        <v>2168</v>
      </c>
      <c r="BA16" s="13">
        <v>2194</v>
      </c>
      <c r="BB16" s="13">
        <v>2058</v>
      </c>
      <c r="BC16" s="13">
        <v>2335</v>
      </c>
    </row>
    <row r="17" spans="1:55" x14ac:dyDescent="0.2">
      <c r="A17" s="12"/>
      <c r="B17" s="15" t="s">
        <v>190</v>
      </c>
      <c r="C17" s="13">
        <v>1750</v>
      </c>
      <c r="D17" s="13">
        <v>1624</v>
      </c>
      <c r="E17" s="13">
        <v>1493</v>
      </c>
      <c r="F17" s="13">
        <v>1978</v>
      </c>
      <c r="G17" s="13">
        <v>1979</v>
      </c>
      <c r="H17" s="13">
        <v>1614</v>
      </c>
      <c r="I17" s="13">
        <v>1644</v>
      </c>
      <c r="J17" s="13">
        <v>1344</v>
      </c>
      <c r="K17" s="13">
        <v>1658</v>
      </c>
      <c r="L17" s="13">
        <v>1679</v>
      </c>
      <c r="M17" s="13">
        <v>1983</v>
      </c>
      <c r="N17" s="13">
        <v>1869</v>
      </c>
      <c r="O17" s="13">
        <v>1781</v>
      </c>
      <c r="P17" s="13">
        <v>1865</v>
      </c>
      <c r="Q17" s="13">
        <v>1616</v>
      </c>
      <c r="R17" s="13">
        <v>1632</v>
      </c>
      <c r="S17" s="13">
        <v>1499</v>
      </c>
      <c r="T17" s="13">
        <v>1590</v>
      </c>
      <c r="U17" s="13">
        <v>1373</v>
      </c>
      <c r="V17" s="13">
        <v>1551</v>
      </c>
      <c r="W17" s="13">
        <v>1377</v>
      </c>
      <c r="X17" s="13">
        <v>1445</v>
      </c>
      <c r="Y17" s="13">
        <v>1263</v>
      </c>
      <c r="Z17" s="13">
        <v>1304</v>
      </c>
      <c r="AA17" s="13">
        <v>1301</v>
      </c>
      <c r="AB17" s="13">
        <v>1513</v>
      </c>
      <c r="AC17" s="13">
        <v>1602</v>
      </c>
      <c r="AD17" s="13">
        <v>1344</v>
      </c>
      <c r="AE17" s="13">
        <v>1460</v>
      </c>
      <c r="AF17" s="13">
        <v>1438</v>
      </c>
      <c r="AG17" s="13">
        <v>1376</v>
      </c>
      <c r="AH17" s="13">
        <v>1191</v>
      </c>
      <c r="AI17" s="13">
        <v>1341</v>
      </c>
      <c r="AJ17" s="13">
        <v>1436</v>
      </c>
      <c r="AK17" s="13">
        <v>1299</v>
      </c>
      <c r="AL17" s="13">
        <v>1423</v>
      </c>
      <c r="AM17" s="13">
        <v>1331</v>
      </c>
      <c r="AN17" s="13">
        <v>1414</v>
      </c>
      <c r="AO17" s="13">
        <v>1369</v>
      </c>
      <c r="AP17" s="13">
        <v>1594</v>
      </c>
      <c r="AQ17" s="13">
        <v>1475</v>
      </c>
      <c r="AR17" s="13">
        <v>1384</v>
      </c>
      <c r="AS17" s="13">
        <v>1593</v>
      </c>
      <c r="AT17" s="13">
        <v>1427</v>
      </c>
      <c r="AU17" s="13">
        <v>1197</v>
      </c>
      <c r="AV17" s="13">
        <v>1199</v>
      </c>
      <c r="AW17" s="13">
        <v>1348</v>
      </c>
      <c r="AX17" s="13">
        <v>1371</v>
      </c>
      <c r="AY17" s="13">
        <v>1638</v>
      </c>
      <c r="AZ17" s="13">
        <v>1431</v>
      </c>
      <c r="BA17" s="13">
        <v>1564</v>
      </c>
      <c r="BB17" s="13">
        <v>1582</v>
      </c>
      <c r="BC17" s="13">
        <v>1496</v>
      </c>
    </row>
    <row r="18" spans="1:55" x14ac:dyDescent="0.2">
      <c r="A18" s="12"/>
      <c r="B18" s="15" t="s">
        <v>191</v>
      </c>
      <c r="C18" s="13">
        <v>10548</v>
      </c>
      <c r="D18" s="13">
        <v>9706</v>
      </c>
      <c r="E18" s="13">
        <v>11231</v>
      </c>
      <c r="F18" s="13">
        <v>10982</v>
      </c>
      <c r="G18" s="13">
        <v>11485</v>
      </c>
      <c r="H18" s="13">
        <v>11591</v>
      </c>
      <c r="I18" s="13">
        <v>11441</v>
      </c>
      <c r="J18" s="13">
        <v>11386</v>
      </c>
      <c r="K18" s="13">
        <v>11523</v>
      </c>
      <c r="L18" s="13">
        <v>11776</v>
      </c>
      <c r="M18" s="13">
        <v>12151</v>
      </c>
      <c r="N18" s="13">
        <v>11461</v>
      </c>
      <c r="O18" s="13">
        <v>12659</v>
      </c>
      <c r="P18" s="13">
        <v>10988</v>
      </c>
      <c r="Q18" s="13">
        <v>11327</v>
      </c>
      <c r="R18" s="13">
        <v>11621</v>
      </c>
      <c r="S18" s="13">
        <v>11069</v>
      </c>
      <c r="T18" s="13">
        <v>10523</v>
      </c>
      <c r="U18" s="13">
        <v>9239</v>
      </c>
      <c r="V18" s="13">
        <v>8428</v>
      </c>
      <c r="W18" s="13">
        <v>10140</v>
      </c>
      <c r="X18" s="13">
        <v>9967</v>
      </c>
      <c r="Y18" s="13">
        <v>9340</v>
      </c>
      <c r="Z18" s="13">
        <v>10410</v>
      </c>
      <c r="AA18" s="13">
        <v>10272</v>
      </c>
      <c r="AB18" s="13">
        <v>10829</v>
      </c>
      <c r="AC18" s="13">
        <v>11178</v>
      </c>
      <c r="AD18" s="13">
        <v>9939</v>
      </c>
      <c r="AE18" s="13">
        <v>9816</v>
      </c>
      <c r="AF18" s="13">
        <v>10714</v>
      </c>
      <c r="AG18" s="13">
        <v>9920</v>
      </c>
      <c r="AH18" s="13">
        <v>11005</v>
      </c>
      <c r="AI18" s="13">
        <v>9885</v>
      </c>
      <c r="AJ18" s="13">
        <v>9960</v>
      </c>
      <c r="AK18" s="13">
        <v>9801</v>
      </c>
      <c r="AL18" s="13">
        <v>12406</v>
      </c>
      <c r="AM18" s="13">
        <v>12273</v>
      </c>
      <c r="AN18" s="13">
        <v>12971</v>
      </c>
      <c r="AO18" s="13">
        <v>11605</v>
      </c>
      <c r="AP18" s="13">
        <v>11069</v>
      </c>
      <c r="AQ18" s="13">
        <v>11160</v>
      </c>
      <c r="AR18" s="13">
        <v>12526</v>
      </c>
      <c r="AS18" s="13">
        <v>12017</v>
      </c>
      <c r="AT18" s="13">
        <v>6324</v>
      </c>
      <c r="AU18" s="13">
        <v>9456</v>
      </c>
      <c r="AV18" s="13">
        <v>12537</v>
      </c>
      <c r="AW18" s="13">
        <v>11659</v>
      </c>
      <c r="AX18" s="13">
        <v>11616</v>
      </c>
      <c r="AY18" s="13">
        <v>11532</v>
      </c>
      <c r="AZ18" s="13">
        <v>12496</v>
      </c>
      <c r="BA18" s="13">
        <v>11527</v>
      </c>
      <c r="BB18" s="13">
        <v>8596</v>
      </c>
      <c r="BC18" s="13">
        <v>10734</v>
      </c>
    </row>
    <row r="19" spans="1:55" x14ac:dyDescent="0.2">
      <c r="A19" s="12"/>
      <c r="B19" s="15" t="s">
        <v>192</v>
      </c>
      <c r="C19" s="13">
        <v>613</v>
      </c>
      <c r="D19" s="13">
        <v>753</v>
      </c>
      <c r="E19" s="13">
        <v>696</v>
      </c>
      <c r="F19" s="13">
        <v>846</v>
      </c>
      <c r="G19" s="13">
        <v>925</v>
      </c>
      <c r="H19" s="13">
        <v>867</v>
      </c>
      <c r="I19" s="13">
        <v>799</v>
      </c>
      <c r="J19" s="13">
        <v>794</v>
      </c>
      <c r="K19" s="13">
        <v>759</v>
      </c>
      <c r="L19" s="13">
        <v>987</v>
      </c>
      <c r="M19" s="13">
        <v>828</v>
      </c>
      <c r="N19" s="13">
        <v>818</v>
      </c>
      <c r="O19" s="13">
        <v>670</v>
      </c>
      <c r="P19" s="13">
        <v>680</v>
      </c>
      <c r="Q19" s="13">
        <v>624</v>
      </c>
      <c r="R19" s="13">
        <v>564</v>
      </c>
      <c r="S19" s="13">
        <v>599</v>
      </c>
      <c r="T19" s="13">
        <v>564</v>
      </c>
      <c r="U19" s="13">
        <v>635</v>
      </c>
      <c r="V19" s="13">
        <v>696</v>
      </c>
      <c r="W19" s="13">
        <v>759</v>
      </c>
      <c r="X19" s="13">
        <v>667</v>
      </c>
      <c r="Y19" s="13">
        <v>716</v>
      </c>
      <c r="Z19" s="13">
        <v>795</v>
      </c>
      <c r="AA19" s="13">
        <v>809</v>
      </c>
      <c r="AB19" s="13">
        <v>775</v>
      </c>
      <c r="AC19" s="13">
        <v>834</v>
      </c>
      <c r="AD19" s="13">
        <v>877</v>
      </c>
      <c r="AE19" s="13">
        <v>914</v>
      </c>
      <c r="AF19" s="13">
        <v>862</v>
      </c>
      <c r="AG19" s="13">
        <v>880</v>
      </c>
      <c r="AH19" s="13">
        <v>967</v>
      </c>
      <c r="AI19" s="13">
        <v>856</v>
      </c>
      <c r="AJ19" s="13">
        <v>780</v>
      </c>
      <c r="AK19" s="13">
        <v>941</v>
      </c>
      <c r="AL19" s="13">
        <v>932</v>
      </c>
      <c r="AM19" s="13">
        <v>857</v>
      </c>
      <c r="AN19" s="13">
        <v>852</v>
      </c>
      <c r="AO19" s="13">
        <v>861</v>
      </c>
      <c r="AP19" s="13">
        <v>815</v>
      </c>
      <c r="AQ19" s="13">
        <v>913</v>
      </c>
      <c r="AR19" s="13">
        <v>954</v>
      </c>
      <c r="AS19" s="13">
        <v>878</v>
      </c>
      <c r="AT19" s="13">
        <v>747</v>
      </c>
      <c r="AU19" s="13">
        <v>818</v>
      </c>
      <c r="AV19" s="13">
        <v>753</v>
      </c>
      <c r="AW19" s="13">
        <v>707</v>
      </c>
      <c r="AX19" s="13">
        <v>844</v>
      </c>
      <c r="AY19" s="13">
        <v>837</v>
      </c>
      <c r="AZ19" s="13">
        <v>658</v>
      </c>
      <c r="BA19" s="13">
        <v>661</v>
      </c>
      <c r="BB19" s="13">
        <v>555</v>
      </c>
      <c r="BC19" s="13">
        <v>644</v>
      </c>
    </row>
    <row r="20" spans="1:55" x14ac:dyDescent="0.2">
      <c r="A20" s="12"/>
      <c r="B20" s="15" t="s">
        <v>193</v>
      </c>
      <c r="C20" s="13">
        <v>307</v>
      </c>
      <c r="D20" s="13">
        <v>562</v>
      </c>
      <c r="E20" s="13">
        <v>541</v>
      </c>
      <c r="F20" s="13">
        <v>570</v>
      </c>
      <c r="G20" s="13">
        <v>680</v>
      </c>
      <c r="H20" s="13">
        <v>491</v>
      </c>
      <c r="I20" s="13">
        <v>608</v>
      </c>
      <c r="J20" s="13">
        <v>465</v>
      </c>
      <c r="K20" s="13">
        <v>516</v>
      </c>
      <c r="L20" s="13">
        <v>569</v>
      </c>
      <c r="M20" s="13">
        <v>555</v>
      </c>
      <c r="N20" s="13">
        <v>622</v>
      </c>
      <c r="O20" s="13">
        <v>570</v>
      </c>
      <c r="P20" s="13">
        <v>369</v>
      </c>
      <c r="Q20" s="13">
        <v>197</v>
      </c>
      <c r="R20" s="13">
        <v>259</v>
      </c>
      <c r="S20" s="13">
        <v>302</v>
      </c>
      <c r="T20" s="13">
        <v>287</v>
      </c>
      <c r="U20" s="13">
        <v>274</v>
      </c>
      <c r="V20" s="13">
        <v>349</v>
      </c>
      <c r="W20" s="13">
        <v>401</v>
      </c>
      <c r="X20" s="13">
        <v>301</v>
      </c>
      <c r="Y20" s="13">
        <v>421</v>
      </c>
      <c r="Z20" s="13">
        <v>413</v>
      </c>
      <c r="AA20" s="13">
        <v>527</v>
      </c>
      <c r="AB20" s="13">
        <v>455</v>
      </c>
      <c r="AC20" s="13">
        <v>424</v>
      </c>
      <c r="AD20" s="13">
        <v>310</v>
      </c>
      <c r="AE20" s="13">
        <v>406</v>
      </c>
      <c r="AF20" s="13">
        <v>424</v>
      </c>
      <c r="AG20" s="13">
        <v>512</v>
      </c>
      <c r="AH20" s="13">
        <v>468</v>
      </c>
      <c r="AI20" s="13">
        <v>502</v>
      </c>
      <c r="AJ20" s="13">
        <v>517</v>
      </c>
      <c r="AK20" s="13">
        <v>602</v>
      </c>
      <c r="AL20" s="13">
        <v>548</v>
      </c>
      <c r="AM20" s="13">
        <v>420</v>
      </c>
      <c r="AN20" s="13">
        <v>613</v>
      </c>
      <c r="AO20" s="13">
        <v>624</v>
      </c>
      <c r="AP20" s="13">
        <v>628</v>
      </c>
      <c r="AQ20" s="13">
        <v>529</v>
      </c>
      <c r="AR20" s="13">
        <v>528</v>
      </c>
      <c r="AS20" s="13">
        <v>574</v>
      </c>
      <c r="AT20" s="13">
        <v>565</v>
      </c>
      <c r="AU20" s="13">
        <v>505</v>
      </c>
      <c r="AV20" s="13">
        <v>550</v>
      </c>
      <c r="AW20" s="13">
        <v>581</v>
      </c>
      <c r="AX20" s="13">
        <v>534</v>
      </c>
      <c r="AY20" s="13">
        <v>508</v>
      </c>
      <c r="AZ20" s="13">
        <v>566</v>
      </c>
      <c r="BA20" s="13">
        <v>674</v>
      </c>
      <c r="BB20" s="13">
        <v>435</v>
      </c>
      <c r="BC20" s="13">
        <v>349</v>
      </c>
    </row>
    <row r="21" spans="1:55" x14ac:dyDescent="0.2">
      <c r="B21" s="12" t="s">
        <v>194</v>
      </c>
      <c r="C21" s="13">
        <v>173</v>
      </c>
      <c r="D21" s="13">
        <v>199</v>
      </c>
      <c r="E21" s="13">
        <v>164</v>
      </c>
      <c r="F21" s="13">
        <v>136</v>
      </c>
      <c r="G21" s="13">
        <v>201</v>
      </c>
      <c r="H21" s="13">
        <v>188</v>
      </c>
      <c r="I21" s="13">
        <v>207</v>
      </c>
      <c r="J21" s="13">
        <v>195</v>
      </c>
      <c r="K21" s="13">
        <v>237</v>
      </c>
      <c r="L21" s="13">
        <v>230</v>
      </c>
      <c r="M21" s="13">
        <v>290</v>
      </c>
      <c r="N21" s="13">
        <v>265</v>
      </c>
      <c r="O21" s="13">
        <v>221</v>
      </c>
      <c r="P21" s="13">
        <v>196</v>
      </c>
      <c r="Q21" s="13">
        <v>182</v>
      </c>
      <c r="R21" s="13">
        <v>197</v>
      </c>
      <c r="S21" s="13">
        <v>185</v>
      </c>
      <c r="T21" s="13">
        <v>187</v>
      </c>
      <c r="U21" s="13">
        <v>122</v>
      </c>
      <c r="V21" s="13">
        <v>224</v>
      </c>
      <c r="W21" s="13">
        <v>212</v>
      </c>
      <c r="X21" s="13">
        <v>152</v>
      </c>
      <c r="Y21" s="13">
        <v>135</v>
      </c>
      <c r="Z21" s="13">
        <v>227</v>
      </c>
      <c r="AA21" s="13">
        <v>173</v>
      </c>
      <c r="AB21" s="13">
        <v>175</v>
      </c>
      <c r="AC21" s="13">
        <v>214</v>
      </c>
      <c r="AD21" s="13">
        <v>171</v>
      </c>
      <c r="AE21" s="13">
        <v>231</v>
      </c>
      <c r="AF21" s="13">
        <v>198</v>
      </c>
      <c r="AG21" s="13">
        <v>202</v>
      </c>
      <c r="AH21" s="13">
        <v>191</v>
      </c>
      <c r="AI21" s="13">
        <v>189</v>
      </c>
      <c r="AJ21" s="13">
        <v>206</v>
      </c>
      <c r="AK21" s="13">
        <v>197</v>
      </c>
      <c r="AL21" s="13">
        <v>219</v>
      </c>
      <c r="AM21" s="13">
        <v>202</v>
      </c>
      <c r="AN21" s="13">
        <v>233</v>
      </c>
      <c r="AO21" s="13">
        <v>230</v>
      </c>
      <c r="AP21" s="13">
        <v>213</v>
      </c>
      <c r="AQ21" s="13">
        <v>189</v>
      </c>
      <c r="AR21" s="13">
        <v>245</v>
      </c>
      <c r="AS21" s="13">
        <v>274</v>
      </c>
      <c r="AT21" s="13">
        <v>269</v>
      </c>
      <c r="AU21" s="13">
        <v>255</v>
      </c>
      <c r="AV21" s="13">
        <v>208</v>
      </c>
      <c r="AW21" s="13">
        <v>300</v>
      </c>
      <c r="AX21" s="13">
        <v>139</v>
      </c>
      <c r="AY21" s="13">
        <v>170</v>
      </c>
      <c r="AZ21" s="13">
        <v>246</v>
      </c>
      <c r="BA21" s="13">
        <v>271</v>
      </c>
      <c r="BB21" s="13">
        <v>243</v>
      </c>
      <c r="BC21" s="13">
        <v>299</v>
      </c>
    </row>
    <row r="22" spans="1:55" x14ac:dyDescent="0.2">
      <c r="C22" s="43"/>
    </row>
    <row r="23" spans="1:55" x14ac:dyDescent="0.2">
      <c r="A23" s="9" t="s">
        <v>195</v>
      </c>
      <c r="C23" s="5">
        <v>1861</v>
      </c>
      <c r="D23" s="5">
        <v>2530</v>
      </c>
      <c r="E23" s="5">
        <v>2400</v>
      </c>
      <c r="F23" s="5">
        <v>2244</v>
      </c>
      <c r="G23" s="5">
        <v>1947</v>
      </c>
      <c r="H23" s="5">
        <v>1883</v>
      </c>
      <c r="I23" s="5">
        <v>1945</v>
      </c>
      <c r="J23" s="5">
        <v>1735</v>
      </c>
      <c r="K23" s="5">
        <v>1832</v>
      </c>
      <c r="L23" s="5">
        <v>2453</v>
      </c>
      <c r="M23" s="5">
        <v>1603</v>
      </c>
      <c r="N23" s="5">
        <v>1593</v>
      </c>
      <c r="O23" s="5">
        <v>1544</v>
      </c>
      <c r="P23" s="5">
        <v>2100</v>
      </c>
      <c r="Q23" s="5">
        <v>1927</v>
      </c>
      <c r="R23" s="5">
        <v>2130</v>
      </c>
      <c r="S23" s="5">
        <v>1501</v>
      </c>
      <c r="T23" s="5">
        <v>1656</v>
      </c>
      <c r="U23" s="5">
        <v>1621</v>
      </c>
      <c r="V23" s="5">
        <v>1686</v>
      </c>
      <c r="W23" s="5">
        <v>1449</v>
      </c>
      <c r="X23" s="5">
        <v>1683</v>
      </c>
      <c r="Y23" s="5">
        <v>1691</v>
      </c>
      <c r="Z23" s="5">
        <v>1564</v>
      </c>
      <c r="AA23" s="5">
        <v>1658</v>
      </c>
      <c r="AB23" s="5">
        <v>1694</v>
      </c>
      <c r="AC23" s="5">
        <v>1257</v>
      </c>
      <c r="AD23" s="5">
        <v>1546</v>
      </c>
      <c r="AE23" s="5">
        <v>2221</v>
      </c>
      <c r="AF23" s="5">
        <v>1758</v>
      </c>
      <c r="AG23" s="5">
        <v>1718</v>
      </c>
      <c r="AH23" s="5">
        <v>1551</v>
      </c>
      <c r="AI23" s="5">
        <v>1525</v>
      </c>
      <c r="AJ23" s="5">
        <v>1732</v>
      </c>
      <c r="AK23" s="5">
        <v>1589</v>
      </c>
      <c r="AL23" s="5">
        <v>1666</v>
      </c>
      <c r="AM23" s="5">
        <v>2086</v>
      </c>
      <c r="AN23" s="5">
        <v>2135</v>
      </c>
      <c r="AO23" s="5">
        <v>2048</v>
      </c>
      <c r="AP23" s="5">
        <v>1995</v>
      </c>
      <c r="AQ23" s="5">
        <v>2044</v>
      </c>
      <c r="AR23" s="5">
        <v>1554</v>
      </c>
      <c r="AS23" s="5">
        <v>2001</v>
      </c>
      <c r="AT23" s="5">
        <v>2261</v>
      </c>
      <c r="AU23" s="5">
        <v>1893</v>
      </c>
      <c r="AV23" s="5">
        <v>1536</v>
      </c>
      <c r="AW23" s="5">
        <v>1869</v>
      </c>
      <c r="AX23" s="5">
        <v>1660</v>
      </c>
      <c r="AY23" s="5">
        <v>1709</v>
      </c>
      <c r="AZ23" s="5">
        <v>2014</v>
      </c>
      <c r="BA23" s="5">
        <v>1878</v>
      </c>
      <c r="BB23" s="5">
        <v>1656</v>
      </c>
      <c r="BC23" s="5">
        <v>1282</v>
      </c>
    </row>
    <row r="24" spans="1:55" x14ac:dyDescent="0.2">
      <c r="A24" s="12"/>
      <c r="B24" s="15"/>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row>
    <row r="25" spans="1:55" x14ac:dyDescent="0.2">
      <c r="A25" s="9" t="s">
        <v>196</v>
      </c>
      <c r="C25" s="5">
        <v>2381</v>
      </c>
      <c r="D25" s="5">
        <v>3693</v>
      </c>
      <c r="E25" s="5">
        <v>4593</v>
      </c>
      <c r="F25" s="5">
        <v>4454</v>
      </c>
      <c r="G25" s="5">
        <v>5186</v>
      </c>
      <c r="H25" s="5">
        <v>5109</v>
      </c>
      <c r="I25" s="5">
        <v>5227</v>
      </c>
      <c r="J25" s="5">
        <v>4549</v>
      </c>
      <c r="K25" s="5">
        <v>4150</v>
      </c>
      <c r="L25" s="5">
        <v>5407</v>
      </c>
      <c r="M25" s="5">
        <v>5764</v>
      </c>
      <c r="N25" s="5">
        <v>5628</v>
      </c>
      <c r="O25" s="5">
        <v>2251</v>
      </c>
      <c r="P25" s="5">
        <v>995</v>
      </c>
      <c r="Q25" s="5">
        <v>614</v>
      </c>
      <c r="R25" s="5">
        <v>409</v>
      </c>
      <c r="S25" s="5">
        <v>426</v>
      </c>
      <c r="T25" s="5">
        <v>569</v>
      </c>
      <c r="U25" s="5">
        <v>449</v>
      </c>
      <c r="V25" s="5">
        <v>436</v>
      </c>
      <c r="W25" s="5">
        <v>961</v>
      </c>
      <c r="X25" s="5">
        <v>1581</v>
      </c>
      <c r="Y25" s="5">
        <v>2546</v>
      </c>
      <c r="Z25" s="5">
        <v>3272</v>
      </c>
      <c r="AA25" s="5">
        <v>3765</v>
      </c>
      <c r="AB25" s="5">
        <v>3651</v>
      </c>
      <c r="AC25" s="5">
        <v>3870</v>
      </c>
      <c r="AD25" s="5">
        <v>4078</v>
      </c>
      <c r="AE25" s="5">
        <v>4521</v>
      </c>
      <c r="AF25" s="5">
        <v>4839</v>
      </c>
      <c r="AG25" s="5">
        <v>4374</v>
      </c>
      <c r="AH25" s="5">
        <v>4596</v>
      </c>
      <c r="AI25" s="5">
        <v>4836</v>
      </c>
      <c r="AJ25" s="5">
        <v>4620</v>
      </c>
      <c r="AK25" s="5">
        <v>4525</v>
      </c>
      <c r="AL25" s="5">
        <v>4509</v>
      </c>
      <c r="AM25" s="5">
        <v>4175</v>
      </c>
      <c r="AN25" s="5">
        <v>4433</v>
      </c>
      <c r="AO25" s="5">
        <v>4051</v>
      </c>
      <c r="AP25" s="5">
        <v>3909</v>
      </c>
      <c r="AQ25" s="5">
        <v>3702</v>
      </c>
      <c r="AR25" s="5">
        <v>3633</v>
      </c>
      <c r="AS25" s="5">
        <v>3882</v>
      </c>
      <c r="AT25" s="5">
        <v>3673</v>
      </c>
      <c r="AU25" s="5">
        <v>3506</v>
      </c>
      <c r="AV25" s="5">
        <v>3509</v>
      </c>
      <c r="AW25" s="5">
        <v>4113</v>
      </c>
      <c r="AX25" s="5">
        <v>3410</v>
      </c>
      <c r="AY25" s="5">
        <v>3924</v>
      </c>
      <c r="AZ25" s="5">
        <v>4646</v>
      </c>
      <c r="BA25" s="5">
        <v>4676</v>
      </c>
      <c r="BB25" s="5">
        <v>3487</v>
      </c>
      <c r="BC25" s="5">
        <v>2757</v>
      </c>
    </row>
    <row r="26" spans="1:55" x14ac:dyDescent="0.2">
      <c r="A26" s="12"/>
      <c r="B26" s="15"/>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c r="AL26" s="13"/>
      <c r="AM26" s="13"/>
      <c r="AN26" s="13"/>
      <c r="AO26" s="13"/>
      <c r="AP26" s="13"/>
      <c r="AQ26" s="13"/>
      <c r="AR26" s="13"/>
      <c r="AS26" s="13"/>
      <c r="AT26" s="13"/>
      <c r="AU26" s="13"/>
      <c r="AV26" s="13"/>
      <c r="AW26" s="13"/>
      <c r="AX26" s="13"/>
      <c r="AY26" s="13"/>
      <c r="AZ26" s="13"/>
      <c r="BA26" s="13"/>
      <c r="BB26" s="13"/>
      <c r="BC26" s="13"/>
    </row>
    <row r="27" spans="1:55" x14ac:dyDescent="0.2">
      <c r="A27" s="18" t="s">
        <v>197</v>
      </c>
      <c r="B27" s="19"/>
      <c r="C27" s="20">
        <v>43465</v>
      </c>
      <c r="D27" s="20">
        <v>45809</v>
      </c>
      <c r="E27" s="20">
        <v>44318</v>
      </c>
      <c r="F27" s="20">
        <v>47277</v>
      </c>
      <c r="G27" s="20">
        <v>50277</v>
      </c>
      <c r="H27" s="20">
        <v>47840</v>
      </c>
      <c r="I27" s="20">
        <v>45102</v>
      </c>
      <c r="J27" s="20">
        <v>44926</v>
      </c>
      <c r="K27" s="20">
        <v>45632</v>
      </c>
      <c r="L27" s="20">
        <v>49878</v>
      </c>
      <c r="M27" s="20">
        <v>49396</v>
      </c>
      <c r="N27" s="20">
        <v>49948</v>
      </c>
      <c r="O27" s="20">
        <v>44735</v>
      </c>
      <c r="P27" s="20">
        <v>41114</v>
      </c>
      <c r="Q27" s="20">
        <v>40096</v>
      </c>
      <c r="R27" s="20">
        <v>38401</v>
      </c>
      <c r="S27" s="20">
        <v>37082</v>
      </c>
      <c r="T27" s="20">
        <v>36276</v>
      </c>
      <c r="U27" s="20">
        <v>34890</v>
      </c>
      <c r="V27" s="20">
        <v>34219</v>
      </c>
      <c r="W27" s="20">
        <v>35740</v>
      </c>
      <c r="X27" s="20">
        <v>36448</v>
      </c>
      <c r="Y27" s="20">
        <v>35650</v>
      </c>
      <c r="Z27" s="20">
        <v>38571</v>
      </c>
      <c r="AA27" s="20">
        <v>39538</v>
      </c>
      <c r="AB27" s="20">
        <v>38316</v>
      </c>
      <c r="AC27" s="20">
        <v>39536</v>
      </c>
      <c r="AD27" s="20">
        <v>39042</v>
      </c>
      <c r="AE27" s="20">
        <v>40453</v>
      </c>
      <c r="AF27" s="20">
        <v>41412</v>
      </c>
      <c r="AG27" s="20">
        <v>41007</v>
      </c>
      <c r="AH27" s="20">
        <v>41916</v>
      </c>
      <c r="AI27" s="20">
        <v>41972</v>
      </c>
      <c r="AJ27" s="20">
        <v>40764</v>
      </c>
      <c r="AK27" s="20">
        <v>40971</v>
      </c>
      <c r="AL27" s="20">
        <v>45169</v>
      </c>
      <c r="AM27" s="20">
        <v>43827</v>
      </c>
      <c r="AN27" s="20">
        <v>46109</v>
      </c>
      <c r="AO27" s="20">
        <v>43971</v>
      </c>
      <c r="AP27" s="20">
        <v>44252</v>
      </c>
      <c r="AQ27" s="20">
        <v>43851</v>
      </c>
      <c r="AR27" s="20">
        <v>44201</v>
      </c>
      <c r="AS27" s="20">
        <v>43304</v>
      </c>
      <c r="AT27" s="20">
        <v>38003</v>
      </c>
      <c r="AU27" s="20">
        <v>41243</v>
      </c>
      <c r="AV27" s="20">
        <v>43808</v>
      </c>
      <c r="AW27" s="20">
        <v>44628</v>
      </c>
      <c r="AX27" s="20">
        <v>43343</v>
      </c>
      <c r="AY27" s="20">
        <v>45369</v>
      </c>
      <c r="AZ27" s="20">
        <v>47310</v>
      </c>
      <c r="BA27" s="20">
        <v>45106</v>
      </c>
      <c r="BB27" s="20">
        <v>38439</v>
      </c>
      <c r="BC27" s="20">
        <v>40145</v>
      </c>
    </row>
    <row r="28" spans="1:55" x14ac:dyDescent="0.2">
      <c r="A28" s="12"/>
      <c r="B28" s="15"/>
      <c r="C28" s="13"/>
      <c r="D28" s="13"/>
      <c r="E28" s="13"/>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13"/>
      <c r="AF28" s="13"/>
      <c r="AG28" s="13"/>
      <c r="AH28" s="13"/>
      <c r="AI28" s="13"/>
      <c r="AJ28" s="13"/>
      <c r="AK28" s="13"/>
      <c r="AL28" s="13"/>
      <c r="AM28" s="13"/>
      <c r="AN28" s="13"/>
      <c r="AO28" s="13"/>
      <c r="AP28" s="13"/>
      <c r="AQ28" s="13"/>
      <c r="AR28" s="13"/>
      <c r="AS28" s="13"/>
      <c r="AT28" s="13"/>
      <c r="AU28" s="13"/>
      <c r="AV28" s="13"/>
      <c r="AW28" s="13"/>
      <c r="AX28" s="13"/>
      <c r="AY28" s="13"/>
      <c r="AZ28" s="13"/>
      <c r="BA28" s="13"/>
      <c r="BB28" s="13"/>
      <c r="BC28" s="13"/>
    </row>
    <row r="29" spans="1:55" x14ac:dyDescent="0.2">
      <c r="A29" s="9" t="s">
        <v>198</v>
      </c>
      <c r="B29" s="12"/>
      <c r="C29" s="11">
        <v>6575</v>
      </c>
      <c r="D29" s="11">
        <v>6156</v>
      </c>
      <c r="E29" s="11">
        <v>5372</v>
      </c>
      <c r="F29" s="11">
        <v>5774</v>
      </c>
      <c r="G29" s="11">
        <v>6858</v>
      </c>
      <c r="H29" s="11">
        <v>5330</v>
      </c>
      <c r="I29" s="11">
        <v>5144</v>
      </c>
      <c r="J29" s="11">
        <v>5473</v>
      </c>
      <c r="K29" s="11">
        <v>5734</v>
      </c>
      <c r="L29" s="11">
        <v>6431</v>
      </c>
      <c r="M29" s="11">
        <v>5517</v>
      </c>
      <c r="N29" s="11">
        <v>6216</v>
      </c>
      <c r="O29" s="11">
        <v>5948</v>
      </c>
      <c r="P29" s="11">
        <v>5805</v>
      </c>
      <c r="Q29" s="11">
        <v>6074</v>
      </c>
      <c r="R29" s="11">
        <v>7024</v>
      </c>
      <c r="S29" s="11">
        <v>6137</v>
      </c>
      <c r="T29" s="11">
        <v>4997</v>
      </c>
      <c r="U29" s="11">
        <v>5491</v>
      </c>
      <c r="V29" s="11">
        <v>5511</v>
      </c>
      <c r="W29" s="11">
        <v>4704</v>
      </c>
      <c r="X29" s="11">
        <v>5112</v>
      </c>
      <c r="Y29" s="11">
        <v>6114</v>
      </c>
      <c r="Z29" s="11">
        <v>5374</v>
      </c>
      <c r="AA29" s="11">
        <v>4682</v>
      </c>
      <c r="AB29" s="11">
        <v>5177</v>
      </c>
      <c r="AC29" s="11">
        <v>4616</v>
      </c>
      <c r="AD29" s="11">
        <v>3654</v>
      </c>
      <c r="AE29" s="11">
        <v>5828</v>
      </c>
      <c r="AF29" s="11">
        <v>5015</v>
      </c>
      <c r="AG29" s="11">
        <v>4317</v>
      </c>
      <c r="AH29" s="11">
        <v>4841</v>
      </c>
      <c r="AI29" s="11">
        <v>5924</v>
      </c>
      <c r="AJ29" s="11">
        <v>5186</v>
      </c>
      <c r="AK29" s="11">
        <v>4089</v>
      </c>
      <c r="AL29" s="11">
        <v>5225</v>
      </c>
      <c r="AM29" s="11">
        <v>5154</v>
      </c>
      <c r="AN29" s="11">
        <v>5414</v>
      </c>
      <c r="AO29" s="11">
        <v>5705</v>
      </c>
      <c r="AP29" s="11">
        <v>6089</v>
      </c>
      <c r="AQ29" s="11">
        <v>4492</v>
      </c>
      <c r="AR29" s="11">
        <v>6288</v>
      </c>
      <c r="AS29" s="11">
        <v>5431</v>
      </c>
      <c r="AT29" s="11">
        <v>5341</v>
      </c>
      <c r="AU29" s="11">
        <v>5481</v>
      </c>
      <c r="AV29" s="11">
        <v>5793</v>
      </c>
      <c r="AW29" s="11">
        <v>6021</v>
      </c>
      <c r="AX29" s="11">
        <v>5868</v>
      </c>
      <c r="AY29" s="11">
        <v>5996</v>
      </c>
      <c r="AZ29" s="11">
        <v>6236</v>
      </c>
      <c r="BA29" s="11">
        <v>5983</v>
      </c>
      <c r="BB29" s="11">
        <v>4568</v>
      </c>
      <c r="BC29" s="11">
        <v>5375</v>
      </c>
    </row>
    <row r="30" spans="1:55" x14ac:dyDescent="0.2">
      <c r="A30" s="12"/>
      <c r="B30" s="12" t="s">
        <v>198</v>
      </c>
      <c r="C30" s="13">
        <v>4911</v>
      </c>
      <c r="D30" s="13">
        <v>4739</v>
      </c>
      <c r="E30" s="13">
        <v>4212</v>
      </c>
      <c r="F30" s="13">
        <v>3867</v>
      </c>
      <c r="G30" s="13">
        <v>5121</v>
      </c>
      <c r="H30" s="13">
        <v>4222</v>
      </c>
      <c r="I30" s="13">
        <v>4234</v>
      </c>
      <c r="J30" s="13">
        <v>4575</v>
      </c>
      <c r="K30" s="13">
        <v>5015</v>
      </c>
      <c r="L30" s="13">
        <v>5237</v>
      </c>
      <c r="M30" s="13">
        <v>4437</v>
      </c>
      <c r="N30" s="13">
        <v>4994</v>
      </c>
      <c r="O30" s="13">
        <v>4693</v>
      </c>
      <c r="P30" s="13">
        <v>4286</v>
      </c>
      <c r="Q30" s="13">
        <v>5307</v>
      </c>
      <c r="R30" s="13">
        <v>5545</v>
      </c>
      <c r="S30" s="13">
        <v>4881</v>
      </c>
      <c r="T30" s="13">
        <v>4092</v>
      </c>
      <c r="U30" s="13">
        <v>4244</v>
      </c>
      <c r="V30" s="13">
        <v>4322</v>
      </c>
      <c r="W30" s="13">
        <v>3873</v>
      </c>
      <c r="X30" s="13">
        <v>4196</v>
      </c>
      <c r="Y30" s="13">
        <v>4796</v>
      </c>
      <c r="Z30" s="13">
        <v>4072</v>
      </c>
      <c r="AA30" s="13">
        <v>3836</v>
      </c>
      <c r="AB30" s="13">
        <v>4343</v>
      </c>
      <c r="AC30" s="13">
        <v>3678</v>
      </c>
      <c r="AD30" s="13">
        <v>2970</v>
      </c>
      <c r="AE30" s="13">
        <v>4802</v>
      </c>
      <c r="AF30" s="13">
        <v>4180</v>
      </c>
      <c r="AG30" s="13">
        <v>3591</v>
      </c>
      <c r="AH30" s="13">
        <v>4049</v>
      </c>
      <c r="AI30" s="13">
        <v>4344</v>
      </c>
      <c r="AJ30" s="13">
        <v>3691</v>
      </c>
      <c r="AK30" s="13">
        <v>3485</v>
      </c>
      <c r="AL30" s="13">
        <v>4344</v>
      </c>
      <c r="AM30" s="13">
        <v>3967</v>
      </c>
      <c r="AN30" s="13">
        <v>4570</v>
      </c>
      <c r="AO30" s="13">
        <v>5107</v>
      </c>
      <c r="AP30" s="13">
        <v>5158</v>
      </c>
      <c r="AQ30" s="13">
        <v>3463</v>
      </c>
      <c r="AR30" s="13">
        <v>5092</v>
      </c>
      <c r="AS30" s="13">
        <v>4491</v>
      </c>
      <c r="AT30" s="13">
        <v>4489</v>
      </c>
      <c r="AU30" s="13">
        <v>4560</v>
      </c>
      <c r="AV30" s="13">
        <v>4785</v>
      </c>
      <c r="AW30" s="13">
        <v>5058</v>
      </c>
      <c r="AX30" s="13">
        <v>4986</v>
      </c>
      <c r="AY30" s="13">
        <v>5275</v>
      </c>
      <c r="AZ30" s="13">
        <v>5145</v>
      </c>
      <c r="BA30" s="13">
        <v>4948</v>
      </c>
      <c r="BB30" s="13">
        <v>3661</v>
      </c>
      <c r="BC30" s="13">
        <v>4277</v>
      </c>
    </row>
    <row r="31" spans="1:55" x14ac:dyDescent="0.2">
      <c r="A31" s="12"/>
      <c r="B31" s="15" t="s">
        <v>199</v>
      </c>
      <c r="C31" s="13">
        <v>1664</v>
      </c>
      <c r="D31" s="13">
        <v>1417</v>
      </c>
      <c r="E31" s="13">
        <v>1160</v>
      </c>
      <c r="F31" s="13">
        <v>1907</v>
      </c>
      <c r="G31" s="13">
        <v>1737</v>
      </c>
      <c r="H31" s="13">
        <v>1108</v>
      </c>
      <c r="I31" s="13">
        <v>910</v>
      </c>
      <c r="J31" s="13">
        <v>898</v>
      </c>
      <c r="K31" s="13">
        <v>719</v>
      </c>
      <c r="L31" s="13">
        <v>1194</v>
      </c>
      <c r="M31" s="13">
        <v>1080</v>
      </c>
      <c r="N31" s="13">
        <v>1222</v>
      </c>
      <c r="O31" s="13">
        <v>1255</v>
      </c>
      <c r="P31" s="13">
        <v>1519</v>
      </c>
      <c r="Q31" s="13">
        <v>767</v>
      </c>
      <c r="R31" s="13">
        <v>1479</v>
      </c>
      <c r="S31" s="13">
        <v>1256</v>
      </c>
      <c r="T31" s="13">
        <v>905</v>
      </c>
      <c r="U31" s="13">
        <v>1247</v>
      </c>
      <c r="V31" s="13">
        <v>1189</v>
      </c>
      <c r="W31" s="13">
        <v>831</v>
      </c>
      <c r="X31" s="13">
        <v>916</v>
      </c>
      <c r="Y31" s="13">
        <v>1318</v>
      </c>
      <c r="Z31" s="13">
        <v>1302</v>
      </c>
      <c r="AA31" s="13">
        <v>846</v>
      </c>
      <c r="AB31" s="13">
        <v>834</v>
      </c>
      <c r="AC31" s="13">
        <v>938</v>
      </c>
      <c r="AD31" s="13">
        <v>684</v>
      </c>
      <c r="AE31" s="13">
        <v>1026</v>
      </c>
      <c r="AF31" s="13">
        <v>835</v>
      </c>
      <c r="AG31" s="13">
        <v>726</v>
      </c>
      <c r="AH31" s="13">
        <v>792</v>
      </c>
      <c r="AI31" s="13">
        <v>1580</v>
      </c>
      <c r="AJ31" s="13">
        <v>1495</v>
      </c>
      <c r="AK31" s="13">
        <v>604</v>
      </c>
      <c r="AL31" s="13">
        <v>881</v>
      </c>
      <c r="AM31" s="13">
        <v>1187</v>
      </c>
      <c r="AN31" s="13">
        <v>844</v>
      </c>
      <c r="AO31" s="13">
        <v>598</v>
      </c>
      <c r="AP31" s="13">
        <v>931</v>
      </c>
      <c r="AQ31" s="13">
        <v>1029</v>
      </c>
      <c r="AR31" s="13">
        <v>1196</v>
      </c>
      <c r="AS31" s="13">
        <v>940</v>
      </c>
      <c r="AT31" s="13">
        <v>852</v>
      </c>
      <c r="AU31" s="13">
        <v>921</v>
      </c>
      <c r="AV31" s="13">
        <v>1008</v>
      </c>
      <c r="AW31" s="13">
        <v>963</v>
      </c>
      <c r="AX31" s="13">
        <v>882</v>
      </c>
      <c r="AY31" s="13">
        <v>721</v>
      </c>
      <c r="AZ31" s="13">
        <v>1091</v>
      </c>
      <c r="BA31" s="13">
        <v>1035</v>
      </c>
      <c r="BB31" s="13">
        <v>907</v>
      </c>
      <c r="BC31" s="13">
        <v>1098</v>
      </c>
    </row>
    <row r="32" spans="1:55" x14ac:dyDescent="0.2">
      <c r="A32" s="12"/>
      <c r="B32" s="15"/>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row>
    <row r="33" spans="1:55" x14ac:dyDescent="0.2">
      <c r="A33" s="16" t="s">
        <v>200</v>
      </c>
      <c r="B33" s="12"/>
      <c r="C33" s="11">
        <v>7331</v>
      </c>
      <c r="D33" s="11">
        <v>7271</v>
      </c>
      <c r="E33" s="11">
        <v>6129</v>
      </c>
      <c r="F33" s="11">
        <v>7554</v>
      </c>
      <c r="G33" s="11">
        <v>6788</v>
      </c>
      <c r="H33" s="11">
        <v>6470</v>
      </c>
      <c r="I33" s="11">
        <v>5136</v>
      </c>
      <c r="J33" s="11">
        <v>5979</v>
      </c>
      <c r="K33" s="11">
        <v>6824</v>
      </c>
      <c r="L33" s="11">
        <v>6788</v>
      </c>
      <c r="M33" s="11">
        <v>8088</v>
      </c>
      <c r="N33" s="11">
        <v>7718</v>
      </c>
      <c r="O33" s="11">
        <v>8321</v>
      </c>
      <c r="P33" s="11">
        <v>8770</v>
      </c>
      <c r="Q33" s="11">
        <v>8950</v>
      </c>
      <c r="R33" s="11">
        <v>8222</v>
      </c>
      <c r="S33" s="11">
        <v>8141</v>
      </c>
      <c r="T33" s="11">
        <v>8346</v>
      </c>
      <c r="U33" s="11">
        <v>8457</v>
      </c>
      <c r="V33" s="11">
        <v>7128</v>
      </c>
      <c r="W33" s="11">
        <v>7417</v>
      </c>
      <c r="X33" s="11">
        <v>7439</v>
      </c>
      <c r="Y33" s="11">
        <v>8000</v>
      </c>
      <c r="Z33" s="11">
        <v>7935</v>
      </c>
      <c r="AA33" s="11">
        <v>8426</v>
      </c>
      <c r="AB33" s="11">
        <v>7414</v>
      </c>
      <c r="AC33" s="11">
        <v>7192</v>
      </c>
      <c r="AD33" s="11">
        <v>8199</v>
      </c>
      <c r="AE33" s="11">
        <v>7683</v>
      </c>
      <c r="AF33" s="11">
        <v>8097</v>
      </c>
      <c r="AG33" s="11">
        <v>7572</v>
      </c>
      <c r="AH33" s="11">
        <v>8219</v>
      </c>
      <c r="AI33" s="11">
        <v>7546</v>
      </c>
      <c r="AJ33" s="11">
        <v>7242</v>
      </c>
      <c r="AK33" s="11">
        <v>7956</v>
      </c>
      <c r="AL33" s="11">
        <v>8492</v>
      </c>
      <c r="AM33" s="11">
        <v>8960</v>
      </c>
      <c r="AN33" s="11">
        <v>9436</v>
      </c>
      <c r="AO33" s="11">
        <v>8929</v>
      </c>
      <c r="AP33" s="11">
        <v>9918</v>
      </c>
      <c r="AQ33" s="11">
        <v>9429</v>
      </c>
      <c r="AR33" s="11">
        <v>9626</v>
      </c>
      <c r="AS33" s="11">
        <v>10663</v>
      </c>
      <c r="AT33" s="11">
        <v>10292</v>
      </c>
      <c r="AU33" s="11">
        <v>10530</v>
      </c>
      <c r="AV33" s="11">
        <v>9778</v>
      </c>
      <c r="AW33" s="11">
        <v>9265</v>
      </c>
      <c r="AX33" s="11">
        <v>9738</v>
      </c>
      <c r="AY33" s="11">
        <v>10373</v>
      </c>
      <c r="AZ33" s="11">
        <v>9270</v>
      </c>
      <c r="BA33" s="11">
        <v>8814</v>
      </c>
      <c r="BB33" s="11">
        <v>6998</v>
      </c>
      <c r="BC33" s="11">
        <v>8435</v>
      </c>
    </row>
    <row r="34" spans="1:55" x14ac:dyDescent="0.2">
      <c r="A34" s="12"/>
      <c r="B34" s="15" t="s">
        <v>201</v>
      </c>
      <c r="C34" s="13">
        <v>1861</v>
      </c>
      <c r="D34" s="13">
        <v>1524</v>
      </c>
      <c r="E34" s="13">
        <v>1800</v>
      </c>
      <c r="F34" s="13">
        <v>2564</v>
      </c>
      <c r="G34" s="13">
        <v>1671</v>
      </c>
      <c r="H34" s="13">
        <v>1573</v>
      </c>
      <c r="I34" s="13">
        <v>1311</v>
      </c>
      <c r="J34" s="13">
        <v>1356</v>
      </c>
      <c r="K34" s="13">
        <v>2478</v>
      </c>
      <c r="L34" s="13">
        <v>2050</v>
      </c>
      <c r="M34" s="13">
        <v>2561</v>
      </c>
      <c r="N34" s="13">
        <v>2785</v>
      </c>
      <c r="O34" s="13">
        <v>2165</v>
      </c>
      <c r="P34" s="13">
        <v>2285</v>
      </c>
      <c r="Q34" s="13">
        <v>2136</v>
      </c>
      <c r="R34" s="13">
        <v>2773</v>
      </c>
      <c r="S34" s="13">
        <v>2609</v>
      </c>
      <c r="T34" s="13">
        <v>1521</v>
      </c>
      <c r="U34" s="13">
        <v>2611</v>
      </c>
      <c r="V34" s="13">
        <v>2273</v>
      </c>
      <c r="W34" s="13">
        <v>1766</v>
      </c>
      <c r="X34" s="13">
        <v>1940</v>
      </c>
      <c r="Y34" s="13">
        <v>2171</v>
      </c>
      <c r="Z34" s="13">
        <v>2695</v>
      </c>
      <c r="AA34" s="13">
        <v>2159</v>
      </c>
      <c r="AB34" s="13">
        <v>1598</v>
      </c>
      <c r="AC34" s="13">
        <v>1444</v>
      </c>
      <c r="AD34" s="13">
        <v>2346</v>
      </c>
      <c r="AE34" s="13">
        <v>1765</v>
      </c>
      <c r="AF34" s="13">
        <v>1859</v>
      </c>
      <c r="AG34" s="13">
        <v>1911</v>
      </c>
      <c r="AH34" s="13">
        <v>1369</v>
      </c>
      <c r="AI34" s="13">
        <v>1604</v>
      </c>
      <c r="AJ34" s="13">
        <v>1598</v>
      </c>
      <c r="AK34" s="13">
        <v>1945</v>
      </c>
      <c r="AL34" s="13">
        <v>2225</v>
      </c>
      <c r="AM34" s="13">
        <v>3357</v>
      </c>
      <c r="AN34" s="13">
        <v>2880</v>
      </c>
      <c r="AO34" s="13">
        <v>3044</v>
      </c>
      <c r="AP34" s="13">
        <v>2713</v>
      </c>
      <c r="AQ34" s="13">
        <v>2145</v>
      </c>
      <c r="AR34" s="13">
        <v>1796</v>
      </c>
      <c r="AS34" s="13">
        <v>2268</v>
      </c>
      <c r="AT34" s="13">
        <v>2156</v>
      </c>
      <c r="AU34" s="13">
        <v>2305</v>
      </c>
      <c r="AV34" s="13">
        <v>2503</v>
      </c>
      <c r="AW34" s="13">
        <v>1942</v>
      </c>
      <c r="AX34" s="13">
        <v>2053</v>
      </c>
      <c r="AY34" s="13">
        <v>1967</v>
      </c>
      <c r="AZ34" s="13">
        <v>2059</v>
      </c>
      <c r="BA34" s="13">
        <v>2072</v>
      </c>
      <c r="BB34" s="13">
        <v>1864</v>
      </c>
      <c r="BC34" s="13">
        <v>1702</v>
      </c>
    </row>
    <row r="35" spans="1:55" x14ac:dyDescent="0.2">
      <c r="A35" s="12"/>
      <c r="B35" s="15" t="s">
        <v>200</v>
      </c>
      <c r="C35" s="13">
        <v>4010</v>
      </c>
      <c r="D35" s="13">
        <v>4558</v>
      </c>
      <c r="E35" s="13">
        <v>3108</v>
      </c>
      <c r="F35" s="13">
        <v>3734</v>
      </c>
      <c r="G35" s="13">
        <v>3853</v>
      </c>
      <c r="H35" s="13">
        <v>3503</v>
      </c>
      <c r="I35" s="13">
        <v>2558</v>
      </c>
      <c r="J35" s="13">
        <v>3331</v>
      </c>
      <c r="K35" s="13">
        <v>3211</v>
      </c>
      <c r="L35" s="13">
        <v>3226</v>
      </c>
      <c r="M35" s="13">
        <v>4160</v>
      </c>
      <c r="N35" s="13">
        <v>3475</v>
      </c>
      <c r="O35" s="13">
        <v>4780</v>
      </c>
      <c r="P35" s="13">
        <v>5479</v>
      </c>
      <c r="Q35" s="13">
        <v>5686</v>
      </c>
      <c r="R35" s="13">
        <v>4310</v>
      </c>
      <c r="S35" s="13">
        <v>4470</v>
      </c>
      <c r="T35" s="13">
        <v>5593</v>
      </c>
      <c r="U35" s="13">
        <v>4664</v>
      </c>
      <c r="V35" s="13">
        <v>3859</v>
      </c>
      <c r="W35" s="13">
        <v>4690</v>
      </c>
      <c r="X35" s="13">
        <v>4105</v>
      </c>
      <c r="Y35" s="13">
        <v>4669</v>
      </c>
      <c r="Z35" s="13">
        <v>4114</v>
      </c>
      <c r="AA35" s="13">
        <v>5078</v>
      </c>
      <c r="AB35" s="13">
        <v>4795</v>
      </c>
      <c r="AC35" s="13">
        <v>4474</v>
      </c>
      <c r="AD35" s="13">
        <v>4611</v>
      </c>
      <c r="AE35" s="13">
        <v>4534</v>
      </c>
      <c r="AF35" s="13">
        <v>4857</v>
      </c>
      <c r="AG35" s="13">
        <v>4233</v>
      </c>
      <c r="AH35" s="13">
        <v>5553</v>
      </c>
      <c r="AI35" s="13">
        <v>4416</v>
      </c>
      <c r="AJ35" s="13">
        <v>4636</v>
      </c>
      <c r="AK35" s="13">
        <v>4797</v>
      </c>
      <c r="AL35" s="13">
        <v>4784</v>
      </c>
      <c r="AM35" s="13">
        <v>4380</v>
      </c>
      <c r="AN35" s="13">
        <v>4985</v>
      </c>
      <c r="AO35" s="13">
        <v>4614</v>
      </c>
      <c r="AP35" s="13">
        <v>5879</v>
      </c>
      <c r="AQ35" s="13">
        <v>5928</v>
      </c>
      <c r="AR35" s="13">
        <v>6550</v>
      </c>
      <c r="AS35" s="13">
        <v>7027</v>
      </c>
      <c r="AT35" s="13">
        <v>6852</v>
      </c>
      <c r="AU35" s="13">
        <v>7070</v>
      </c>
      <c r="AV35" s="13">
        <v>5854</v>
      </c>
      <c r="AW35" s="13">
        <v>6238</v>
      </c>
      <c r="AX35" s="13">
        <v>6266</v>
      </c>
      <c r="AY35" s="13">
        <v>7041</v>
      </c>
      <c r="AZ35" s="13">
        <v>5901</v>
      </c>
      <c r="BA35" s="13">
        <v>5500</v>
      </c>
      <c r="BB35" s="13">
        <v>4105</v>
      </c>
      <c r="BC35" s="13">
        <v>5595</v>
      </c>
    </row>
    <row r="36" spans="1:55" x14ac:dyDescent="0.2">
      <c r="A36" s="12"/>
      <c r="B36" s="15" t="s">
        <v>202</v>
      </c>
      <c r="C36" s="13">
        <v>1460</v>
      </c>
      <c r="D36" s="13">
        <v>1189</v>
      </c>
      <c r="E36" s="13">
        <v>1221</v>
      </c>
      <c r="F36" s="13">
        <v>1256</v>
      </c>
      <c r="G36" s="13">
        <v>1264</v>
      </c>
      <c r="H36" s="13">
        <v>1394</v>
      </c>
      <c r="I36" s="13">
        <v>1267</v>
      </c>
      <c r="J36" s="13">
        <v>1292</v>
      </c>
      <c r="K36" s="13">
        <v>1135</v>
      </c>
      <c r="L36" s="13">
        <v>1512</v>
      </c>
      <c r="M36" s="13">
        <v>1367</v>
      </c>
      <c r="N36" s="13">
        <v>1458</v>
      </c>
      <c r="O36" s="13">
        <v>1376</v>
      </c>
      <c r="P36" s="13">
        <v>1006</v>
      </c>
      <c r="Q36" s="13">
        <v>1128</v>
      </c>
      <c r="R36" s="13">
        <v>1139</v>
      </c>
      <c r="S36" s="13">
        <v>1062</v>
      </c>
      <c r="T36" s="13">
        <v>1232</v>
      </c>
      <c r="U36" s="13">
        <v>1182</v>
      </c>
      <c r="V36" s="13">
        <v>996</v>
      </c>
      <c r="W36" s="13">
        <v>961</v>
      </c>
      <c r="X36" s="13">
        <v>1394</v>
      </c>
      <c r="Y36" s="13">
        <v>1160</v>
      </c>
      <c r="Z36" s="13">
        <v>1126</v>
      </c>
      <c r="AA36" s="13">
        <v>1189</v>
      </c>
      <c r="AB36" s="13">
        <v>1021</v>
      </c>
      <c r="AC36" s="13">
        <v>1274</v>
      </c>
      <c r="AD36" s="13">
        <v>1242</v>
      </c>
      <c r="AE36" s="13">
        <v>1384</v>
      </c>
      <c r="AF36" s="13">
        <v>1381</v>
      </c>
      <c r="AG36" s="13">
        <v>1428</v>
      </c>
      <c r="AH36" s="13">
        <v>1297</v>
      </c>
      <c r="AI36" s="13">
        <v>1526</v>
      </c>
      <c r="AJ36" s="13">
        <v>1008</v>
      </c>
      <c r="AK36" s="13">
        <v>1214</v>
      </c>
      <c r="AL36" s="13">
        <v>1483</v>
      </c>
      <c r="AM36" s="13">
        <v>1223</v>
      </c>
      <c r="AN36" s="13">
        <v>1571</v>
      </c>
      <c r="AO36" s="13">
        <v>1271</v>
      </c>
      <c r="AP36" s="13">
        <v>1326</v>
      </c>
      <c r="AQ36" s="13">
        <v>1356</v>
      </c>
      <c r="AR36" s="13">
        <v>1280</v>
      </c>
      <c r="AS36" s="13">
        <v>1368</v>
      </c>
      <c r="AT36" s="13">
        <v>1284</v>
      </c>
      <c r="AU36" s="13">
        <v>1155</v>
      </c>
      <c r="AV36" s="13">
        <v>1421</v>
      </c>
      <c r="AW36" s="13">
        <v>1085</v>
      </c>
      <c r="AX36" s="13">
        <v>1419</v>
      </c>
      <c r="AY36" s="13">
        <v>1365</v>
      </c>
      <c r="AZ36" s="13">
        <v>1310</v>
      </c>
      <c r="BA36" s="13">
        <v>1242</v>
      </c>
      <c r="BB36" s="13">
        <v>1029</v>
      </c>
      <c r="BC36" s="13">
        <v>1138</v>
      </c>
    </row>
    <row r="37" spans="1:55" x14ac:dyDescent="0.2">
      <c r="A37" s="12"/>
      <c r="B37" s="15"/>
      <c r="C37" s="13"/>
      <c r="D37" s="1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13"/>
      <c r="AZ37" s="13"/>
      <c r="BA37" s="13"/>
      <c r="BB37" s="13"/>
      <c r="BC37" s="13"/>
    </row>
    <row r="38" spans="1:55" x14ac:dyDescent="0.2">
      <c r="A38" s="9" t="s">
        <v>203</v>
      </c>
      <c r="C38" s="5">
        <v>1510</v>
      </c>
      <c r="D38" s="5">
        <v>1446</v>
      </c>
      <c r="E38" s="5">
        <v>1495</v>
      </c>
      <c r="F38" s="5">
        <v>1562</v>
      </c>
      <c r="G38" s="5">
        <v>1152</v>
      </c>
      <c r="H38" s="5">
        <v>1690</v>
      </c>
      <c r="I38" s="5">
        <v>1379</v>
      </c>
      <c r="J38" s="5">
        <v>1385</v>
      </c>
      <c r="K38" s="5">
        <v>1470</v>
      </c>
      <c r="L38" s="5">
        <v>1699</v>
      </c>
      <c r="M38" s="5">
        <v>1742</v>
      </c>
      <c r="N38" s="5">
        <v>1687</v>
      </c>
      <c r="O38" s="5">
        <v>1645</v>
      </c>
      <c r="P38" s="5">
        <v>1557</v>
      </c>
      <c r="Q38" s="5">
        <v>1626</v>
      </c>
      <c r="R38" s="5">
        <v>1699</v>
      </c>
      <c r="S38" s="5">
        <v>1502</v>
      </c>
      <c r="T38" s="5">
        <v>1224</v>
      </c>
      <c r="U38" s="5">
        <v>1641</v>
      </c>
      <c r="V38" s="5">
        <v>1484</v>
      </c>
      <c r="W38" s="5">
        <v>1465</v>
      </c>
      <c r="X38" s="5">
        <v>1470</v>
      </c>
      <c r="Y38" s="5">
        <v>1606</v>
      </c>
      <c r="Z38" s="5">
        <v>1454</v>
      </c>
      <c r="AA38" s="5">
        <v>1505</v>
      </c>
      <c r="AB38" s="5">
        <v>1499</v>
      </c>
      <c r="AC38" s="5">
        <v>1405</v>
      </c>
      <c r="AD38" s="5">
        <v>1459</v>
      </c>
      <c r="AE38" s="5">
        <v>1537</v>
      </c>
      <c r="AF38" s="5">
        <v>1390</v>
      </c>
      <c r="AG38" s="5">
        <v>1287</v>
      </c>
      <c r="AH38" s="5">
        <v>1421</v>
      </c>
      <c r="AI38" s="5">
        <v>1547</v>
      </c>
      <c r="AJ38" s="5">
        <v>1486</v>
      </c>
      <c r="AK38" s="5">
        <v>1274</v>
      </c>
      <c r="AL38" s="5">
        <v>1516</v>
      </c>
      <c r="AM38" s="5">
        <v>1489</v>
      </c>
      <c r="AN38" s="5">
        <v>1459</v>
      </c>
      <c r="AO38" s="5">
        <v>1688</v>
      </c>
      <c r="AP38" s="5">
        <v>1474</v>
      </c>
      <c r="AQ38" s="5">
        <v>1925</v>
      </c>
      <c r="AR38" s="5">
        <v>1748</v>
      </c>
      <c r="AS38" s="5">
        <v>1547</v>
      </c>
      <c r="AT38" s="5">
        <v>1866</v>
      </c>
      <c r="AU38" s="5">
        <v>1575</v>
      </c>
      <c r="AV38" s="5">
        <v>1803</v>
      </c>
      <c r="AW38" s="5">
        <v>1288</v>
      </c>
      <c r="AX38" s="5">
        <v>1784</v>
      </c>
      <c r="AY38" s="5">
        <v>1813</v>
      </c>
      <c r="AZ38" s="5">
        <v>1911</v>
      </c>
      <c r="BA38" s="5">
        <v>1488</v>
      </c>
      <c r="BB38" s="5">
        <v>1139</v>
      </c>
      <c r="BC38" s="5">
        <v>1567</v>
      </c>
    </row>
    <row r="39" spans="1:55" x14ac:dyDescent="0.2">
      <c r="A39" s="4"/>
      <c r="B39" s="4"/>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c r="AW39" s="13"/>
      <c r="AX39" s="13"/>
      <c r="AY39" s="13"/>
      <c r="AZ39" s="13"/>
      <c r="BA39" s="13"/>
      <c r="BB39" s="13"/>
      <c r="BC39" s="13"/>
    </row>
    <row r="40" spans="1:55" x14ac:dyDescent="0.2">
      <c r="A40" s="18" t="s">
        <v>204</v>
      </c>
      <c r="B40" s="19"/>
      <c r="C40" s="20">
        <v>15416</v>
      </c>
      <c r="D40" s="20">
        <v>14873</v>
      </c>
      <c r="E40" s="20">
        <v>12996</v>
      </c>
      <c r="F40" s="20">
        <v>14890</v>
      </c>
      <c r="G40" s="20">
        <v>14798</v>
      </c>
      <c r="H40" s="20">
        <v>13490</v>
      </c>
      <c r="I40" s="20">
        <v>11659</v>
      </c>
      <c r="J40" s="20">
        <v>12837</v>
      </c>
      <c r="K40" s="20">
        <v>14028</v>
      </c>
      <c r="L40" s="20">
        <v>14918</v>
      </c>
      <c r="M40" s="20">
        <v>15347</v>
      </c>
      <c r="N40" s="20">
        <v>15621</v>
      </c>
      <c r="O40" s="20">
        <v>15914</v>
      </c>
      <c r="P40" s="20">
        <v>16132</v>
      </c>
      <c r="Q40" s="20">
        <v>16650</v>
      </c>
      <c r="R40" s="20">
        <v>16945</v>
      </c>
      <c r="S40" s="20">
        <v>15780</v>
      </c>
      <c r="T40" s="20">
        <v>14567</v>
      </c>
      <c r="U40" s="20">
        <v>15589</v>
      </c>
      <c r="V40" s="20">
        <v>14123</v>
      </c>
      <c r="W40" s="20">
        <v>13586</v>
      </c>
      <c r="X40" s="20">
        <v>14021</v>
      </c>
      <c r="Y40" s="20">
        <v>15720</v>
      </c>
      <c r="Z40" s="20">
        <v>14763</v>
      </c>
      <c r="AA40" s="20">
        <v>14613</v>
      </c>
      <c r="AB40" s="20">
        <v>14090</v>
      </c>
      <c r="AC40" s="20">
        <v>13213</v>
      </c>
      <c r="AD40" s="20">
        <v>13312</v>
      </c>
      <c r="AE40" s="20">
        <v>15048</v>
      </c>
      <c r="AF40" s="20">
        <v>14502</v>
      </c>
      <c r="AG40" s="20">
        <v>13176</v>
      </c>
      <c r="AH40" s="20">
        <v>14481</v>
      </c>
      <c r="AI40" s="20">
        <v>15017</v>
      </c>
      <c r="AJ40" s="20">
        <v>13914</v>
      </c>
      <c r="AK40" s="20">
        <v>13319</v>
      </c>
      <c r="AL40" s="20">
        <v>15233</v>
      </c>
      <c r="AM40" s="20">
        <v>15603</v>
      </c>
      <c r="AN40" s="20">
        <v>16309</v>
      </c>
      <c r="AO40" s="20">
        <v>16322</v>
      </c>
      <c r="AP40" s="20">
        <v>17481</v>
      </c>
      <c r="AQ40" s="20">
        <v>15846</v>
      </c>
      <c r="AR40" s="20">
        <v>17662</v>
      </c>
      <c r="AS40" s="20">
        <v>17641</v>
      </c>
      <c r="AT40" s="20">
        <v>17499</v>
      </c>
      <c r="AU40" s="20">
        <v>17586</v>
      </c>
      <c r="AV40" s="20">
        <v>17374</v>
      </c>
      <c r="AW40" s="20">
        <v>16574</v>
      </c>
      <c r="AX40" s="20">
        <v>17390</v>
      </c>
      <c r="AY40" s="20">
        <v>18182</v>
      </c>
      <c r="AZ40" s="20">
        <v>17417</v>
      </c>
      <c r="BA40" s="20">
        <v>16285</v>
      </c>
      <c r="BB40" s="20">
        <v>12705</v>
      </c>
      <c r="BC40" s="20">
        <v>15377</v>
      </c>
    </row>
    <row r="41" spans="1:55" x14ac:dyDescent="0.2">
      <c r="A41" s="12"/>
      <c r="B41" s="15"/>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3"/>
      <c r="AM41" s="13"/>
      <c r="AN41" s="13"/>
      <c r="AO41" s="13"/>
      <c r="AP41" s="13"/>
      <c r="AQ41" s="13"/>
      <c r="AR41" s="13"/>
      <c r="AS41" s="13"/>
      <c r="AT41" s="13"/>
      <c r="AU41" s="13"/>
      <c r="AV41" s="13"/>
      <c r="AW41" s="13"/>
      <c r="AX41" s="13"/>
      <c r="AY41" s="13"/>
      <c r="AZ41" s="13"/>
      <c r="BA41" s="13"/>
      <c r="BB41" s="13"/>
      <c r="BC41" s="13"/>
    </row>
    <row r="42" spans="1:55" x14ac:dyDescent="0.2">
      <c r="A42" s="12"/>
      <c r="B42" s="15" t="s">
        <v>205</v>
      </c>
      <c r="C42" s="13">
        <v>41732</v>
      </c>
      <c r="D42" s="13">
        <v>50988</v>
      </c>
      <c r="E42" s="13">
        <v>43617</v>
      </c>
      <c r="F42" s="13">
        <v>48276</v>
      </c>
      <c r="G42" s="13">
        <v>51346</v>
      </c>
      <c r="H42" s="13">
        <v>44273</v>
      </c>
      <c r="I42" s="13">
        <v>34050</v>
      </c>
      <c r="J42" s="13">
        <v>34761</v>
      </c>
      <c r="K42" s="13">
        <v>35870</v>
      </c>
      <c r="L42" s="13">
        <v>40331</v>
      </c>
      <c r="M42" s="13">
        <v>40703</v>
      </c>
      <c r="N42" s="13">
        <v>41587</v>
      </c>
      <c r="O42" s="13">
        <v>41734</v>
      </c>
      <c r="P42" s="13">
        <v>45697</v>
      </c>
      <c r="Q42" s="13">
        <v>46283</v>
      </c>
      <c r="R42" s="13">
        <v>45968</v>
      </c>
      <c r="S42" s="13">
        <v>49137</v>
      </c>
      <c r="T42" s="13">
        <v>49591</v>
      </c>
      <c r="U42" s="13">
        <v>48512</v>
      </c>
      <c r="V42" s="13">
        <v>47033</v>
      </c>
      <c r="W42" s="13">
        <v>42372</v>
      </c>
      <c r="X42" s="13">
        <v>45729</v>
      </c>
      <c r="Y42" s="13">
        <v>45553</v>
      </c>
      <c r="Z42" s="13">
        <v>46735</v>
      </c>
      <c r="AA42" s="13">
        <v>47878</v>
      </c>
      <c r="AB42" s="13">
        <v>47177</v>
      </c>
      <c r="AC42" s="13">
        <v>44779</v>
      </c>
      <c r="AD42" s="13">
        <v>48225</v>
      </c>
      <c r="AE42" s="13">
        <v>50687</v>
      </c>
      <c r="AF42" s="13">
        <v>52662</v>
      </c>
      <c r="AG42" s="13">
        <v>50398</v>
      </c>
      <c r="AH42" s="13">
        <v>51994</v>
      </c>
      <c r="AI42" s="13">
        <v>52638</v>
      </c>
      <c r="AJ42" s="13">
        <v>52028</v>
      </c>
      <c r="AK42" s="13">
        <v>54574</v>
      </c>
      <c r="AL42" s="13">
        <v>55278</v>
      </c>
      <c r="AM42" s="13">
        <v>55072</v>
      </c>
      <c r="AN42" s="13">
        <v>55679</v>
      </c>
      <c r="AO42" s="13">
        <v>56189</v>
      </c>
      <c r="AP42" s="13">
        <v>58104</v>
      </c>
      <c r="AQ42" s="13">
        <v>58304</v>
      </c>
      <c r="AR42" s="13">
        <v>58501</v>
      </c>
      <c r="AS42" s="13">
        <v>59433</v>
      </c>
      <c r="AT42" s="13">
        <v>60273</v>
      </c>
      <c r="AU42" s="13">
        <v>56879</v>
      </c>
      <c r="AV42" s="13">
        <v>57115</v>
      </c>
      <c r="AW42" s="13">
        <v>58322</v>
      </c>
      <c r="AX42" s="13">
        <v>54836</v>
      </c>
      <c r="AY42" s="13">
        <v>55018</v>
      </c>
      <c r="AZ42" s="13">
        <v>54683</v>
      </c>
      <c r="BA42" s="13">
        <v>53809</v>
      </c>
      <c r="BB42" s="13">
        <v>41956</v>
      </c>
      <c r="BC42" s="13">
        <v>44199</v>
      </c>
    </row>
    <row r="43" spans="1:55" x14ac:dyDescent="0.2">
      <c r="A43" s="12"/>
      <c r="B43" s="15" t="s">
        <v>206</v>
      </c>
      <c r="C43" s="13">
        <v>0</v>
      </c>
      <c r="D43" s="13">
        <v>0</v>
      </c>
      <c r="E43" s="13">
        <v>0</v>
      </c>
      <c r="F43" s="13">
        <v>0</v>
      </c>
      <c r="G43" s="13">
        <v>0</v>
      </c>
      <c r="H43" s="13">
        <v>0</v>
      </c>
      <c r="I43" s="13">
        <v>0</v>
      </c>
      <c r="J43" s="13">
        <v>0</v>
      </c>
      <c r="K43" s="13">
        <v>0</v>
      </c>
      <c r="L43" s="13">
        <v>0</v>
      </c>
      <c r="M43" s="13">
        <v>0</v>
      </c>
      <c r="N43" s="13">
        <v>0</v>
      </c>
      <c r="O43" s="13">
        <v>0</v>
      </c>
      <c r="P43" s="13">
        <v>0</v>
      </c>
      <c r="Q43" s="13">
        <v>0</v>
      </c>
      <c r="R43" s="13">
        <v>0</v>
      </c>
      <c r="S43" s="13">
        <v>0</v>
      </c>
      <c r="T43" s="13">
        <v>0</v>
      </c>
      <c r="U43" s="13">
        <v>0</v>
      </c>
      <c r="V43" s="13">
        <v>0</v>
      </c>
      <c r="W43" s="13">
        <v>0</v>
      </c>
      <c r="X43" s="13">
        <v>0</v>
      </c>
      <c r="Y43" s="13">
        <v>0</v>
      </c>
      <c r="Z43" s="13">
        <v>0</v>
      </c>
      <c r="AA43" s="13">
        <v>0</v>
      </c>
      <c r="AB43" s="13">
        <v>0</v>
      </c>
      <c r="AC43" s="13">
        <v>0</v>
      </c>
      <c r="AD43" s="13">
        <v>0</v>
      </c>
      <c r="AE43" s="13">
        <v>0</v>
      </c>
      <c r="AF43" s="13">
        <v>0</v>
      </c>
      <c r="AG43" s="13">
        <v>0</v>
      </c>
      <c r="AH43" s="13">
        <v>0</v>
      </c>
      <c r="AI43" s="13">
        <v>0</v>
      </c>
      <c r="AJ43" s="13">
        <v>0</v>
      </c>
      <c r="AK43" s="13">
        <v>0</v>
      </c>
      <c r="AL43" s="13">
        <v>0</v>
      </c>
      <c r="AM43" s="13">
        <v>0</v>
      </c>
      <c r="AN43" s="13">
        <v>0</v>
      </c>
      <c r="AO43" s="13">
        <v>0</v>
      </c>
      <c r="AP43" s="13">
        <v>0</v>
      </c>
      <c r="AQ43" s="13">
        <v>0</v>
      </c>
      <c r="AR43" s="13">
        <v>0</v>
      </c>
      <c r="AS43" s="13">
        <v>0</v>
      </c>
      <c r="AT43" s="13">
        <v>0</v>
      </c>
      <c r="AU43" s="13">
        <v>0</v>
      </c>
      <c r="AV43" s="13">
        <v>0</v>
      </c>
      <c r="AW43" s="13">
        <v>0</v>
      </c>
      <c r="AX43" s="13">
        <v>0</v>
      </c>
      <c r="AY43" s="13">
        <v>0</v>
      </c>
      <c r="AZ43" s="13">
        <v>0</v>
      </c>
      <c r="BA43" s="13">
        <v>0</v>
      </c>
      <c r="BB43" s="13">
        <v>0</v>
      </c>
      <c r="BC43" s="13">
        <v>0</v>
      </c>
    </row>
    <row r="44" spans="1:55" x14ac:dyDescent="0.2">
      <c r="A44" s="12"/>
      <c r="B44" s="15"/>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13"/>
      <c r="AY44" s="13"/>
      <c r="AZ44" s="13"/>
      <c r="BA44" s="13"/>
      <c r="BB44" s="13"/>
      <c r="BC44" s="13"/>
    </row>
    <row r="45" spans="1:55" x14ac:dyDescent="0.2">
      <c r="A45" s="18" t="s">
        <v>207</v>
      </c>
      <c r="B45" s="18"/>
      <c r="C45" s="20">
        <v>41732</v>
      </c>
      <c r="D45" s="20">
        <v>50988</v>
      </c>
      <c r="E45" s="20">
        <v>43617</v>
      </c>
      <c r="F45" s="20">
        <v>48276</v>
      </c>
      <c r="G45" s="20">
        <v>51346</v>
      </c>
      <c r="H45" s="20">
        <v>44273</v>
      </c>
      <c r="I45" s="20">
        <v>34050</v>
      </c>
      <c r="J45" s="20">
        <v>34761</v>
      </c>
      <c r="K45" s="20">
        <v>35870</v>
      </c>
      <c r="L45" s="20">
        <v>40331</v>
      </c>
      <c r="M45" s="20">
        <v>40703</v>
      </c>
      <c r="N45" s="20">
        <v>41587</v>
      </c>
      <c r="O45" s="20">
        <v>41734</v>
      </c>
      <c r="P45" s="20">
        <v>45697</v>
      </c>
      <c r="Q45" s="20">
        <v>46283</v>
      </c>
      <c r="R45" s="20">
        <v>45968</v>
      </c>
      <c r="S45" s="20">
        <v>49137</v>
      </c>
      <c r="T45" s="20">
        <v>49591</v>
      </c>
      <c r="U45" s="20">
        <v>48512</v>
      </c>
      <c r="V45" s="20">
        <v>47033</v>
      </c>
      <c r="W45" s="20">
        <v>42372</v>
      </c>
      <c r="X45" s="20">
        <v>45729</v>
      </c>
      <c r="Y45" s="20">
        <v>45553</v>
      </c>
      <c r="Z45" s="20">
        <v>46735</v>
      </c>
      <c r="AA45" s="20">
        <v>47878</v>
      </c>
      <c r="AB45" s="20">
        <v>47177</v>
      </c>
      <c r="AC45" s="20">
        <v>44779</v>
      </c>
      <c r="AD45" s="20">
        <v>48225</v>
      </c>
      <c r="AE45" s="20">
        <v>50687</v>
      </c>
      <c r="AF45" s="20">
        <v>52662</v>
      </c>
      <c r="AG45" s="20">
        <v>50398</v>
      </c>
      <c r="AH45" s="20">
        <v>51994</v>
      </c>
      <c r="AI45" s="20">
        <v>52638</v>
      </c>
      <c r="AJ45" s="20">
        <v>52028</v>
      </c>
      <c r="AK45" s="20">
        <v>54574</v>
      </c>
      <c r="AL45" s="20">
        <v>55278</v>
      </c>
      <c r="AM45" s="20">
        <v>55072</v>
      </c>
      <c r="AN45" s="20">
        <v>55679</v>
      </c>
      <c r="AO45" s="20">
        <v>56189</v>
      </c>
      <c r="AP45" s="20">
        <v>58104</v>
      </c>
      <c r="AQ45" s="20">
        <v>58304</v>
      </c>
      <c r="AR45" s="20">
        <v>58501</v>
      </c>
      <c r="AS45" s="20">
        <v>59433</v>
      </c>
      <c r="AT45" s="20">
        <v>60273</v>
      </c>
      <c r="AU45" s="20">
        <v>56879</v>
      </c>
      <c r="AV45" s="20">
        <v>57115</v>
      </c>
      <c r="AW45" s="20">
        <v>58322</v>
      </c>
      <c r="AX45" s="20">
        <v>54836</v>
      </c>
      <c r="AY45" s="20">
        <v>55018</v>
      </c>
      <c r="AZ45" s="20">
        <v>54683</v>
      </c>
      <c r="BA45" s="20">
        <v>53809</v>
      </c>
      <c r="BB45" s="20">
        <v>41956</v>
      </c>
      <c r="BC45" s="20">
        <v>44199</v>
      </c>
    </row>
    <row r="46" spans="1:55" x14ac:dyDescent="0.2">
      <c r="A46" s="12"/>
      <c r="B46" s="14"/>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13"/>
      <c r="AF46" s="13"/>
      <c r="AG46" s="13"/>
      <c r="AH46" s="13"/>
      <c r="AI46" s="13"/>
      <c r="AJ46" s="13"/>
      <c r="AK46" s="13"/>
      <c r="AL46" s="13"/>
      <c r="AM46" s="13"/>
      <c r="AN46" s="13"/>
      <c r="AO46" s="13"/>
      <c r="AP46" s="13"/>
      <c r="AQ46" s="13"/>
      <c r="AR46" s="13"/>
      <c r="AS46" s="13"/>
      <c r="AT46" s="13"/>
      <c r="AU46" s="13"/>
      <c r="AV46" s="13"/>
      <c r="AW46" s="13"/>
      <c r="AX46" s="13"/>
      <c r="AY46" s="13"/>
      <c r="AZ46" s="13"/>
      <c r="BA46" s="13"/>
      <c r="BB46" s="13"/>
      <c r="BC46" s="13"/>
    </row>
    <row r="47" spans="1:55" ht="13.5" thickBot="1" x14ac:dyDescent="0.25">
      <c r="A47" s="21" t="s">
        <v>208</v>
      </c>
      <c r="B47" s="22"/>
      <c r="C47" s="23">
        <v>100613</v>
      </c>
      <c r="D47" s="23">
        <v>111670</v>
      </c>
      <c r="E47" s="23">
        <v>100931</v>
      </c>
      <c r="F47" s="23">
        <v>110443</v>
      </c>
      <c r="G47" s="23">
        <v>116421</v>
      </c>
      <c r="H47" s="23">
        <v>105603</v>
      </c>
      <c r="I47" s="23">
        <v>90811</v>
      </c>
      <c r="J47" s="23">
        <v>92524</v>
      </c>
      <c r="K47" s="23">
        <v>95530</v>
      </c>
      <c r="L47" s="23">
        <v>105127</v>
      </c>
      <c r="M47" s="23">
        <v>105446</v>
      </c>
      <c r="N47" s="23">
        <v>107156</v>
      </c>
      <c r="O47" s="23">
        <v>102383</v>
      </c>
      <c r="P47" s="23">
        <v>102943</v>
      </c>
      <c r="Q47" s="23">
        <v>103029</v>
      </c>
      <c r="R47" s="23">
        <v>101314</v>
      </c>
      <c r="S47" s="23">
        <v>101999</v>
      </c>
      <c r="T47" s="23">
        <v>100434</v>
      </c>
      <c r="U47" s="23">
        <v>98991</v>
      </c>
      <c r="V47" s="23">
        <v>95375</v>
      </c>
      <c r="W47" s="23">
        <v>91698</v>
      </c>
      <c r="X47" s="23">
        <v>96198</v>
      </c>
      <c r="Y47" s="23">
        <v>96923</v>
      </c>
      <c r="Z47" s="23">
        <v>100069</v>
      </c>
      <c r="AA47" s="23">
        <v>102029</v>
      </c>
      <c r="AB47" s="23">
        <v>99583</v>
      </c>
      <c r="AC47" s="23">
        <v>97528</v>
      </c>
      <c r="AD47" s="23">
        <v>100579</v>
      </c>
      <c r="AE47" s="23">
        <v>106188</v>
      </c>
      <c r="AF47" s="23">
        <v>108576</v>
      </c>
      <c r="AG47" s="23">
        <v>104581</v>
      </c>
      <c r="AH47" s="23">
        <v>108391</v>
      </c>
      <c r="AI47" s="23">
        <v>109627</v>
      </c>
      <c r="AJ47" s="23">
        <v>106706</v>
      </c>
      <c r="AK47" s="23">
        <v>108864</v>
      </c>
      <c r="AL47" s="23">
        <v>115680</v>
      </c>
      <c r="AM47" s="23">
        <v>114502</v>
      </c>
      <c r="AN47" s="23">
        <v>118097</v>
      </c>
      <c r="AO47" s="23">
        <v>116482</v>
      </c>
      <c r="AP47" s="23">
        <v>119837</v>
      </c>
      <c r="AQ47" s="23">
        <v>118001</v>
      </c>
      <c r="AR47" s="23">
        <v>120364</v>
      </c>
      <c r="AS47" s="23">
        <v>120378</v>
      </c>
      <c r="AT47" s="23">
        <v>115775</v>
      </c>
      <c r="AU47" s="23">
        <v>115708</v>
      </c>
      <c r="AV47" s="23">
        <v>118297</v>
      </c>
      <c r="AW47" s="23">
        <v>119524</v>
      </c>
      <c r="AX47" s="23">
        <v>115569</v>
      </c>
      <c r="AY47" s="23">
        <v>118569</v>
      </c>
      <c r="AZ47" s="23">
        <v>119410</v>
      </c>
      <c r="BA47" s="23">
        <v>115200</v>
      </c>
      <c r="BB47" s="23">
        <v>93100</v>
      </c>
      <c r="BC47" s="23">
        <v>99721</v>
      </c>
    </row>
    <row r="48" spans="1:55" ht="13.5" thickTop="1" x14ac:dyDescent="0.2">
      <c r="C48" s="43"/>
    </row>
    <row r="49" spans="1:55" x14ac:dyDescent="0.2">
      <c r="C49" s="43"/>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row>
    <row r="50" spans="1:55" ht="13.5" thickBot="1" x14ac:dyDescent="0.25">
      <c r="A50" s="46" t="s">
        <v>209</v>
      </c>
      <c r="B50" s="22"/>
      <c r="C50" s="23">
        <v>4461.3033560000003</v>
      </c>
      <c r="D50" s="23">
        <v>4817.1694869999992</v>
      </c>
      <c r="E50" s="23">
        <v>3979.263434</v>
      </c>
      <c r="F50" s="23">
        <v>4745.3193700000002</v>
      </c>
      <c r="G50" s="23">
        <v>4924.5707280000006</v>
      </c>
      <c r="H50" s="23">
        <v>4456.259156000001</v>
      </c>
      <c r="I50" s="23">
        <v>3730.7044719999994</v>
      </c>
      <c r="J50" s="23">
        <v>3962.4229469999996</v>
      </c>
      <c r="K50" s="23">
        <v>4138.0588250000001</v>
      </c>
      <c r="L50" s="23">
        <v>4782.5854229999995</v>
      </c>
      <c r="M50" s="23">
        <v>4886.9526660000001</v>
      </c>
      <c r="N50" s="23">
        <v>5048.6742439999989</v>
      </c>
      <c r="O50" s="23">
        <v>4554.7969069999999</v>
      </c>
      <c r="P50" s="23">
        <v>4561.4886020000004</v>
      </c>
      <c r="Q50" s="23">
        <v>4464.1551690000006</v>
      </c>
      <c r="R50" s="23">
        <v>4177.7912460000007</v>
      </c>
      <c r="S50" s="23">
        <v>4152.6388649999999</v>
      </c>
      <c r="T50" s="23">
        <v>3972.6531060000002</v>
      </c>
      <c r="U50" s="23">
        <v>4036.3515020000004</v>
      </c>
      <c r="V50" s="23">
        <v>3943.297388</v>
      </c>
      <c r="W50" s="23">
        <v>3637.5165889999989</v>
      </c>
      <c r="X50" s="23">
        <v>3948.7838019999999</v>
      </c>
      <c r="Y50" s="23">
        <v>3799.3126069999994</v>
      </c>
      <c r="Z50" s="23">
        <v>3927.2366140000004</v>
      </c>
      <c r="AA50" s="23">
        <v>4101.1153219999997</v>
      </c>
      <c r="AB50" s="23">
        <v>3871.6858039999997</v>
      </c>
      <c r="AC50" s="23">
        <v>3735.6891720000003</v>
      </c>
      <c r="AD50" s="23">
        <v>3915.6182269999999</v>
      </c>
      <c r="AE50" s="23">
        <v>4059.8015439999995</v>
      </c>
      <c r="AF50" s="23">
        <v>4200.9692519999999</v>
      </c>
      <c r="AG50" s="23">
        <v>4167.2993020000004</v>
      </c>
      <c r="AH50" s="23">
        <v>4202.5052919999989</v>
      </c>
      <c r="AI50" s="23">
        <v>4364.3890469999997</v>
      </c>
      <c r="AJ50" s="23">
        <v>4128.8327819999995</v>
      </c>
      <c r="AK50" s="23">
        <v>4249.0302940000001</v>
      </c>
      <c r="AL50" s="23">
        <v>4430.9290879999999</v>
      </c>
      <c r="AM50" s="23">
        <v>4485.1300230000006</v>
      </c>
      <c r="AN50" s="23">
        <v>4670.8877750000011</v>
      </c>
      <c r="AO50" s="23">
        <v>4692.8055180000001</v>
      </c>
      <c r="AP50" s="23">
        <v>4935.8696389999986</v>
      </c>
      <c r="AQ50" s="23">
        <v>4762.6039710000005</v>
      </c>
      <c r="AR50" s="23">
        <v>4827.8712519999999</v>
      </c>
      <c r="AS50" s="23">
        <v>4725.5117700000001</v>
      </c>
      <c r="AT50" s="23">
        <v>4812.9908850000011</v>
      </c>
      <c r="AU50" s="23">
        <v>4873.2373870000001</v>
      </c>
      <c r="AV50" s="23">
        <v>4786.9940510000006</v>
      </c>
      <c r="AW50" s="23">
        <v>4966.843550999999</v>
      </c>
      <c r="AX50" s="23">
        <v>4887.6289620000007</v>
      </c>
      <c r="AY50" s="23">
        <v>4972.9065849999997</v>
      </c>
      <c r="AZ50" s="23">
        <v>5012.8447020000003</v>
      </c>
      <c r="BA50" s="23">
        <v>4892.5141620000004</v>
      </c>
      <c r="BB50" s="23">
        <v>3999.3426020000011</v>
      </c>
      <c r="BC50" s="23">
        <v>4253.7838449999999</v>
      </c>
    </row>
    <row r="51" spans="1:55" ht="13.5" thickTop="1" x14ac:dyDescent="0.2"/>
  </sheetData>
  <sheetProtection algorithmName="SHA-512" hashValue="PiMkQsq8Lf58xMrqytcfKUGv4qc4zGmSHf8xTxXD9KvYiRr3wndlfX6e7ZZUTimeVxwT9eGpyCF2OhTW5Vm84g==" saltValue="zSj8S4TFEKurwAW/HNBZ0w==" spinCount="100000" sheet="1" objects="1" scenarios="1"/>
  <mergeCells count="1">
    <mergeCell ref="A1:BC1"/>
  </mergeCells>
  <pageMargins left="0.17" right="0.17" top="0.17" bottom="0.5" header="0.17" footer="0.5"/>
  <pageSetup scale="70" fitToWidth="0" orientation="landscape" r:id="rId1"/>
  <headerFooter alignWithMargins="0"/>
  <colBreaks count="3" manualBreakCount="3">
    <brk id="16" max="48" man="1"/>
    <brk id="29" max="48" man="1"/>
    <brk id="42" max="48"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1">
    <tabColor rgb="FFFF0000"/>
  </sheetPr>
  <dimension ref="A1:BC50"/>
  <sheetViews>
    <sheetView workbookViewId="0">
      <selection activeCell="C22" sqref="C22"/>
    </sheetView>
  </sheetViews>
  <sheetFormatPr defaultColWidth="6.7109375" defaultRowHeight="12.75" x14ac:dyDescent="0.2"/>
  <cols>
    <col min="1" max="1" width="7.28515625" style="1" customWidth="1"/>
    <col min="2" max="2" width="53" style="1" bestFit="1" customWidth="1"/>
    <col min="3" max="3" width="9.42578125" style="3" customWidth="1"/>
    <col min="4" max="53" width="9.42578125" style="1" customWidth="1"/>
    <col min="54" max="54" width="8.85546875" style="1" customWidth="1"/>
    <col min="55" max="55" width="9" style="1" hidden="1" customWidth="1"/>
    <col min="56" max="16384" width="6.7109375" style="1"/>
  </cols>
  <sheetData>
    <row r="1" spans="1:55" ht="54.6" customHeight="1" x14ac:dyDescent="0.4">
      <c r="A1" s="143" t="s">
        <v>218</v>
      </c>
      <c r="B1" s="144"/>
      <c r="C1" s="144"/>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c r="AH1" s="144"/>
      <c r="AI1" s="144"/>
      <c r="AJ1" s="144"/>
      <c r="AK1" s="144"/>
      <c r="AL1" s="144"/>
      <c r="AM1" s="144"/>
      <c r="AN1" s="144"/>
      <c r="AO1" s="144"/>
      <c r="AP1" s="144"/>
      <c r="AQ1" s="144"/>
      <c r="AR1" s="144"/>
      <c r="AS1" s="144"/>
      <c r="AT1" s="144"/>
      <c r="AU1" s="144"/>
      <c r="AV1" s="144"/>
      <c r="AW1" s="144"/>
      <c r="AX1" s="144"/>
      <c r="AY1" s="144"/>
      <c r="AZ1" s="144"/>
      <c r="BA1" s="144"/>
      <c r="BB1" s="144"/>
      <c r="BC1" s="144"/>
    </row>
    <row r="2" spans="1:55" ht="13.5" thickBot="1" x14ac:dyDescent="0.25">
      <c r="A2" s="4"/>
      <c r="B2" s="7" t="s">
        <v>178</v>
      </c>
      <c r="C2" s="5">
        <v>1</v>
      </c>
      <c r="D2" s="5">
        <v>2</v>
      </c>
      <c r="E2" s="5">
        <v>3</v>
      </c>
      <c r="F2" s="5">
        <v>4</v>
      </c>
      <c r="G2" s="5">
        <v>5</v>
      </c>
      <c r="H2" s="5">
        <v>6</v>
      </c>
      <c r="I2" s="5">
        <v>7</v>
      </c>
      <c r="J2" s="5">
        <v>8</v>
      </c>
      <c r="K2" s="5">
        <v>9</v>
      </c>
      <c r="L2" s="5">
        <v>10</v>
      </c>
      <c r="M2" s="5">
        <v>11</v>
      </c>
      <c r="N2" s="5">
        <v>12</v>
      </c>
      <c r="O2" s="5">
        <v>13</v>
      </c>
      <c r="P2" s="5">
        <v>14</v>
      </c>
      <c r="Q2" s="5">
        <v>15</v>
      </c>
      <c r="R2" s="5">
        <v>16</v>
      </c>
      <c r="S2" s="5">
        <v>17</v>
      </c>
      <c r="T2" s="5">
        <v>18</v>
      </c>
      <c r="U2" s="5">
        <v>19</v>
      </c>
      <c r="V2" s="5">
        <v>20</v>
      </c>
      <c r="W2" s="5">
        <v>21</v>
      </c>
      <c r="X2" s="5">
        <v>22</v>
      </c>
      <c r="Y2" s="5">
        <v>23</v>
      </c>
      <c r="Z2" s="5">
        <v>24</v>
      </c>
      <c r="AA2" s="5">
        <v>25</v>
      </c>
      <c r="AB2" s="5">
        <v>26</v>
      </c>
      <c r="AC2" s="5">
        <v>27</v>
      </c>
      <c r="AD2" s="5">
        <v>28</v>
      </c>
      <c r="AE2" s="5">
        <v>29</v>
      </c>
      <c r="AF2" s="5">
        <v>30</v>
      </c>
      <c r="AG2" s="5">
        <v>31</v>
      </c>
      <c r="AH2" s="5">
        <v>32</v>
      </c>
      <c r="AI2" s="5">
        <v>33</v>
      </c>
      <c r="AJ2" s="5">
        <v>34</v>
      </c>
      <c r="AK2" s="5">
        <v>35</v>
      </c>
      <c r="AL2" s="5">
        <v>36</v>
      </c>
      <c r="AM2" s="5">
        <v>37</v>
      </c>
      <c r="AN2" s="5">
        <v>38</v>
      </c>
      <c r="AO2" s="5">
        <v>39</v>
      </c>
      <c r="AP2" s="5">
        <v>40</v>
      </c>
      <c r="AQ2" s="5">
        <v>41</v>
      </c>
      <c r="AR2" s="5">
        <v>42</v>
      </c>
      <c r="AS2" s="5">
        <v>43</v>
      </c>
      <c r="AT2" s="5">
        <v>44</v>
      </c>
      <c r="AU2" s="5">
        <v>45</v>
      </c>
      <c r="AV2" s="5">
        <v>46</v>
      </c>
      <c r="AW2" s="5">
        <v>47</v>
      </c>
      <c r="AX2" s="5">
        <v>48</v>
      </c>
      <c r="AY2" s="5">
        <v>49</v>
      </c>
      <c r="AZ2" s="5">
        <v>50</v>
      </c>
      <c r="BA2" s="5">
        <v>51</v>
      </c>
      <c r="BB2" s="5">
        <v>52</v>
      </c>
      <c r="BC2" s="5">
        <v>53</v>
      </c>
    </row>
    <row r="3" spans="1:55" s="2" customFormat="1" ht="24.75" thickBot="1" x14ac:dyDescent="0.25">
      <c r="A3" s="6"/>
      <c r="B3" s="50" t="s">
        <v>179</v>
      </c>
      <c r="C3" s="51">
        <v>43464</v>
      </c>
      <c r="D3" s="51">
        <v>43471</v>
      </c>
      <c r="E3" s="51">
        <v>43478</v>
      </c>
      <c r="F3" s="51">
        <v>43485</v>
      </c>
      <c r="G3" s="51">
        <v>43492</v>
      </c>
      <c r="H3" s="51">
        <v>43499</v>
      </c>
      <c r="I3" s="51">
        <v>43506</v>
      </c>
      <c r="J3" s="51">
        <v>43513</v>
      </c>
      <c r="K3" s="51">
        <v>43520</v>
      </c>
      <c r="L3" s="51">
        <v>43527</v>
      </c>
      <c r="M3" s="51">
        <v>43534</v>
      </c>
      <c r="N3" s="51">
        <v>43541</v>
      </c>
      <c r="O3" s="51">
        <v>43548</v>
      </c>
      <c r="P3" s="51">
        <v>43555</v>
      </c>
      <c r="Q3" s="51">
        <v>43562</v>
      </c>
      <c r="R3" s="51">
        <v>43569</v>
      </c>
      <c r="S3" s="51">
        <v>43576</v>
      </c>
      <c r="T3" s="51">
        <v>43583</v>
      </c>
      <c r="U3" s="51">
        <v>43590</v>
      </c>
      <c r="V3" s="51">
        <v>43597</v>
      </c>
      <c r="W3" s="51">
        <v>43604</v>
      </c>
      <c r="X3" s="51">
        <v>43611</v>
      </c>
      <c r="Y3" s="51">
        <v>43618</v>
      </c>
      <c r="Z3" s="51">
        <v>43625</v>
      </c>
      <c r="AA3" s="51">
        <v>43632</v>
      </c>
      <c r="AB3" s="51">
        <v>43639</v>
      </c>
      <c r="AC3" s="51">
        <v>43646</v>
      </c>
      <c r="AD3" s="51">
        <v>43653</v>
      </c>
      <c r="AE3" s="51">
        <v>43660</v>
      </c>
      <c r="AF3" s="51">
        <v>43667</v>
      </c>
      <c r="AG3" s="51">
        <v>43674</v>
      </c>
      <c r="AH3" s="51">
        <v>43681</v>
      </c>
      <c r="AI3" s="51">
        <v>43688</v>
      </c>
      <c r="AJ3" s="51">
        <v>43695</v>
      </c>
      <c r="AK3" s="51">
        <v>43702</v>
      </c>
      <c r="AL3" s="51">
        <v>43709</v>
      </c>
      <c r="AM3" s="51">
        <v>43716</v>
      </c>
      <c r="AN3" s="51">
        <v>43723</v>
      </c>
      <c r="AO3" s="51">
        <v>43730</v>
      </c>
      <c r="AP3" s="51">
        <v>43737</v>
      </c>
      <c r="AQ3" s="51">
        <v>43744</v>
      </c>
      <c r="AR3" s="51">
        <v>43751</v>
      </c>
      <c r="AS3" s="51">
        <v>43758</v>
      </c>
      <c r="AT3" s="51">
        <v>43765</v>
      </c>
      <c r="AU3" s="51">
        <v>43772</v>
      </c>
      <c r="AV3" s="51">
        <v>43779</v>
      </c>
      <c r="AW3" s="51">
        <v>43786</v>
      </c>
      <c r="AX3" s="51">
        <v>43793</v>
      </c>
      <c r="AY3" s="51">
        <v>43800</v>
      </c>
      <c r="AZ3" s="51">
        <v>43807</v>
      </c>
      <c r="BA3" s="51">
        <v>43814</v>
      </c>
      <c r="BB3" s="51">
        <v>43821</v>
      </c>
      <c r="BC3" s="51">
        <v>43822</v>
      </c>
    </row>
    <row r="4" spans="1:55" x14ac:dyDescent="0.2">
      <c r="A4" s="9" t="s">
        <v>180</v>
      </c>
      <c r="B4" s="10"/>
      <c r="C4" s="11">
        <v>5681</v>
      </c>
      <c r="D4" s="11">
        <v>7212</v>
      </c>
      <c r="E4" s="11">
        <v>7933</v>
      </c>
      <c r="F4" s="11">
        <v>7519</v>
      </c>
      <c r="G4" s="11">
        <v>7207</v>
      </c>
      <c r="H4" s="11">
        <v>6362</v>
      </c>
      <c r="I4" s="11">
        <v>6718</v>
      </c>
      <c r="J4" s="11">
        <v>6543</v>
      </c>
      <c r="K4" s="11">
        <v>6766</v>
      </c>
      <c r="L4" s="11">
        <v>7185</v>
      </c>
      <c r="M4" s="11">
        <v>7343</v>
      </c>
      <c r="N4" s="11">
        <v>7719</v>
      </c>
      <c r="O4" s="11">
        <v>7679</v>
      </c>
      <c r="P4" s="11">
        <v>8053</v>
      </c>
      <c r="Q4" s="11">
        <v>8023</v>
      </c>
      <c r="R4" s="11">
        <v>7560</v>
      </c>
      <c r="S4" s="11">
        <v>7737</v>
      </c>
      <c r="T4" s="11">
        <v>7171</v>
      </c>
      <c r="U4" s="11">
        <v>7568</v>
      </c>
      <c r="V4" s="11">
        <v>7380</v>
      </c>
      <c r="W4" s="11">
        <v>6816</v>
      </c>
      <c r="X4" s="11">
        <v>7075</v>
      </c>
      <c r="Y4" s="11">
        <v>7002</v>
      </c>
      <c r="Z4" s="11">
        <v>6887</v>
      </c>
      <c r="AA4" s="11">
        <v>7111</v>
      </c>
      <c r="AB4" s="11">
        <v>7003</v>
      </c>
      <c r="AC4" s="11">
        <v>6211</v>
      </c>
      <c r="AD4" s="11">
        <v>6875</v>
      </c>
      <c r="AE4" s="11">
        <v>6603</v>
      </c>
      <c r="AF4" s="11">
        <v>6818</v>
      </c>
      <c r="AG4" s="11">
        <v>6697</v>
      </c>
      <c r="AH4" s="11">
        <v>6656</v>
      </c>
      <c r="AI4" s="11">
        <v>6912</v>
      </c>
      <c r="AJ4" s="11">
        <v>6971</v>
      </c>
      <c r="AK4" s="11">
        <v>6744</v>
      </c>
      <c r="AL4" s="11">
        <v>6588</v>
      </c>
      <c r="AM4" s="11">
        <v>6920</v>
      </c>
      <c r="AN4" s="11">
        <v>7033</v>
      </c>
      <c r="AO4" s="11">
        <v>6859</v>
      </c>
      <c r="AP4" s="11">
        <v>6699</v>
      </c>
      <c r="AQ4" s="11">
        <v>6480</v>
      </c>
      <c r="AR4" s="11">
        <v>6144</v>
      </c>
      <c r="AS4" s="11">
        <v>6830</v>
      </c>
      <c r="AT4" s="11">
        <v>6952</v>
      </c>
      <c r="AU4" s="11">
        <v>6521</v>
      </c>
      <c r="AV4" s="11">
        <v>6503</v>
      </c>
      <c r="AW4" s="11">
        <v>4524</v>
      </c>
      <c r="AX4" s="11">
        <v>4463</v>
      </c>
      <c r="AY4" s="11">
        <v>6970</v>
      </c>
      <c r="AZ4" s="11">
        <v>6790</v>
      </c>
      <c r="BA4" s="11">
        <v>6384</v>
      </c>
      <c r="BB4" s="11">
        <v>5057</v>
      </c>
      <c r="BC4" s="11">
        <v>5554</v>
      </c>
    </row>
    <row r="5" spans="1:55" x14ac:dyDescent="0.2">
      <c r="A5" s="12"/>
      <c r="B5" s="15" t="s">
        <v>181</v>
      </c>
      <c r="C5" s="13">
        <v>1693</v>
      </c>
      <c r="D5" s="13">
        <v>2764</v>
      </c>
      <c r="E5" s="13">
        <v>3358</v>
      </c>
      <c r="F5" s="13">
        <v>3099</v>
      </c>
      <c r="G5" s="13">
        <v>3129</v>
      </c>
      <c r="H5" s="13">
        <v>2485</v>
      </c>
      <c r="I5" s="13">
        <v>2751</v>
      </c>
      <c r="J5" s="13">
        <v>2673</v>
      </c>
      <c r="K5" s="13">
        <v>2729</v>
      </c>
      <c r="L5" s="13">
        <v>2782</v>
      </c>
      <c r="M5" s="13">
        <v>3013</v>
      </c>
      <c r="N5" s="13">
        <v>3306</v>
      </c>
      <c r="O5" s="13">
        <v>3403</v>
      </c>
      <c r="P5" s="13">
        <v>3370</v>
      </c>
      <c r="Q5" s="13">
        <v>3612</v>
      </c>
      <c r="R5" s="13">
        <v>3334</v>
      </c>
      <c r="S5" s="13">
        <v>3350</v>
      </c>
      <c r="T5" s="13">
        <v>3041</v>
      </c>
      <c r="U5" s="13">
        <v>3374</v>
      </c>
      <c r="V5" s="13">
        <v>3279</v>
      </c>
      <c r="W5" s="13">
        <v>2824</v>
      </c>
      <c r="X5" s="13">
        <v>2977</v>
      </c>
      <c r="Y5" s="13">
        <v>3027</v>
      </c>
      <c r="Z5" s="13">
        <v>3046</v>
      </c>
      <c r="AA5" s="13">
        <v>3090</v>
      </c>
      <c r="AB5" s="13">
        <v>2840</v>
      </c>
      <c r="AC5" s="13">
        <v>2405</v>
      </c>
      <c r="AD5" s="13">
        <v>2774</v>
      </c>
      <c r="AE5" s="13">
        <v>2676</v>
      </c>
      <c r="AF5" s="13">
        <v>2728</v>
      </c>
      <c r="AG5" s="13">
        <v>2746</v>
      </c>
      <c r="AH5" s="13">
        <v>2654</v>
      </c>
      <c r="AI5" s="13">
        <v>2760</v>
      </c>
      <c r="AJ5" s="13">
        <v>2741</v>
      </c>
      <c r="AK5" s="13">
        <v>2734</v>
      </c>
      <c r="AL5" s="13">
        <v>2568</v>
      </c>
      <c r="AM5" s="13">
        <v>3002</v>
      </c>
      <c r="AN5" s="13">
        <v>2837</v>
      </c>
      <c r="AO5" s="13">
        <v>2783</v>
      </c>
      <c r="AP5" s="13">
        <v>2704</v>
      </c>
      <c r="AQ5" s="13">
        <v>2596</v>
      </c>
      <c r="AR5" s="13">
        <v>2298</v>
      </c>
      <c r="AS5" s="13">
        <v>2854</v>
      </c>
      <c r="AT5" s="13">
        <v>2840</v>
      </c>
      <c r="AU5" s="13">
        <v>2704</v>
      </c>
      <c r="AV5" s="13">
        <v>2446</v>
      </c>
      <c r="AW5" s="13">
        <v>1611</v>
      </c>
      <c r="AX5" s="13">
        <v>1646</v>
      </c>
      <c r="AY5" s="13">
        <v>2901</v>
      </c>
      <c r="AZ5" s="13">
        <v>2774</v>
      </c>
      <c r="BA5" s="13">
        <v>2572</v>
      </c>
      <c r="BB5" s="13">
        <v>1340</v>
      </c>
      <c r="BC5" s="13">
        <v>1718</v>
      </c>
    </row>
    <row r="6" spans="1:55" x14ac:dyDescent="0.2">
      <c r="A6" s="12"/>
      <c r="B6" s="15" t="s">
        <v>182</v>
      </c>
      <c r="C6" s="13">
        <v>670</v>
      </c>
      <c r="D6" s="13">
        <v>1229</v>
      </c>
      <c r="E6" s="13">
        <v>1245</v>
      </c>
      <c r="F6" s="13">
        <v>1366</v>
      </c>
      <c r="G6" s="13">
        <v>1156</v>
      </c>
      <c r="H6" s="13">
        <v>979</v>
      </c>
      <c r="I6" s="13">
        <v>989</v>
      </c>
      <c r="J6" s="13">
        <v>963</v>
      </c>
      <c r="K6" s="13">
        <v>1011</v>
      </c>
      <c r="L6" s="13">
        <v>1438</v>
      </c>
      <c r="M6" s="13">
        <v>1318</v>
      </c>
      <c r="N6" s="13">
        <v>1352</v>
      </c>
      <c r="O6" s="13">
        <v>1281</v>
      </c>
      <c r="P6" s="13">
        <v>1434</v>
      </c>
      <c r="Q6" s="13">
        <v>1302</v>
      </c>
      <c r="R6" s="13">
        <v>1173</v>
      </c>
      <c r="S6" s="13">
        <v>1270</v>
      </c>
      <c r="T6" s="13">
        <v>1139</v>
      </c>
      <c r="U6" s="13">
        <v>1309</v>
      </c>
      <c r="V6" s="13">
        <v>1386</v>
      </c>
      <c r="W6" s="13">
        <v>1209</v>
      </c>
      <c r="X6" s="13">
        <v>1275</v>
      </c>
      <c r="Y6" s="13">
        <v>1194</v>
      </c>
      <c r="Z6" s="13">
        <v>1021</v>
      </c>
      <c r="AA6" s="13">
        <v>1294</v>
      </c>
      <c r="AB6" s="13">
        <v>1177</v>
      </c>
      <c r="AC6" s="13">
        <v>897</v>
      </c>
      <c r="AD6" s="13">
        <v>1056</v>
      </c>
      <c r="AE6" s="13">
        <v>1057</v>
      </c>
      <c r="AF6" s="13">
        <v>1107</v>
      </c>
      <c r="AG6" s="13">
        <v>1126</v>
      </c>
      <c r="AH6" s="13">
        <v>1097</v>
      </c>
      <c r="AI6" s="13">
        <v>1260</v>
      </c>
      <c r="AJ6" s="13">
        <v>1302</v>
      </c>
      <c r="AK6" s="13">
        <v>1114</v>
      </c>
      <c r="AL6" s="13">
        <v>1101</v>
      </c>
      <c r="AM6" s="13">
        <v>1137</v>
      </c>
      <c r="AN6" s="13">
        <v>1145</v>
      </c>
      <c r="AO6" s="13">
        <v>1198</v>
      </c>
      <c r="AP6" s="13">
        <v>979</v>
      </c>
      <c r="AQ6" s="13">
        <v>1096</v>
      </c>
      <c r="AR6" s="13">
        <v>871</v>
      </c>
      <c r="AS6" s="13">
        <v>986</v>
      </c>
      <c r="AT6" s="13">
        <v>1136</v>
      </c>
      <c r="AU6" s="13">
        <v>966</v>
      </c>
      <c r="AV6" s="13">
        <v>1051</v>
      </c>
      <c r="AW6" s="13">
        <v>830</v>
      </c>
      <c r="AX6" s="13">
        <v>665</v>
      </c>
      <c r="AY6" s="13">
        <v>1173</v>
      </c>
      <c r="AZ6" s="13">
        <v>1173</v>
      </c>
      <c r="BA6" s="13">
        <v>949</v>
      </c>
      <c r="BB6" s="13">
        <v>656</v>
      </c>
      <c r="BC6" s="13">
        <v>667</v>
      </c>
    </row>
    <row r="7" spans="1:55" x14ac:dyDescent="0.2">
      <c r="A7" s="12"/>
      <c r="B7" s="15" t="s">
        <v>183</v>
      </c>
      <c r="C7" s="13">
        <v>3318</v>
      </c>
      <c r="D7" s="13">
        <v>3219</v>
      </c>
      <c r="E7" s="13">
        <v>3330</v>
      </c>
      <c r="F7" s="13">
        <v>3054</v>
      </c>
      <c r="G7" s="13">
        <v>2922</v>
      </c>
      <c r="H7" s="13">
        <v>2898</v>
      </c>
      <c r="I7" s="13">
        <v>2978</v>
      </c>
      <c r="J7" s="13">
        <v>2907</v>
      </c>
      <c r="K7" s="13">
        <v>3026</v>
      </c>
      <c r="L7" s="13">
        <v>2965</v>
      </c>
      <c r="M7" s="13">
        <v>3012</v>
      </c>
      <c r="N7" s="13">
        <v>3061</v>
      </c>
      <c r="O7" s="13">
        <v>2995</v>
      </c>
      <c r="P7" s="13">
        <v>3249</v>
      </c>
      <c r="Q7" s="13">
        <v>3109</v>
      </c>
      <c r="R7" s="13">
        <v>3053</v>
      </c>
      <c r="S7" s="13">
        <v>3117</v>
      </c>
      <c r="T7" s="13">
        <v>2991</v>
      </c>
      <c r="U7" s="13">
        <v>2885</v>
      </c>
      <c r="V7" s="13">
        <v>2715</v>
      </c>
      <c r="W7" s="13">
        <v>2783</v>
      </c>
      <c r="X7" s="13">
        <v>2823</v>
      </c>
      <c r="Y7" s="13">
        <v>2781</v>
      </c>
      <c r="Z7" s="13">
        <v>2820</v>
      </c>
      <c r="AA7" s="13">
        <v>2727</v>
      </c>
      <c r="AB7" s="13">
        <v>2986</v>
      </c>
      <c r="AC7" s="13">
        <v>2909</v>
      </c>
      <c r="AD7" s="13">
        <v>3045</v>
      </c>
      <c r="AE7" s="13">
        <v>2870</v>
      </c>
      <c r="AF7" s="13">
        <v>2983</v>
      </c>
      <c r="AG7" s="13">
        <v>2825</v>
      </c>
      <c r="AH7" s="13">
        <v>2905</v>
      </c>
      <c r="AI7" s="13">
        <v>2892</v>
      </c>
      <c r="AJ7" s="13">
        <v>2928</v>
      </c>
      <c r="AK7" s="13">
        <v>2896</v>
      </c>
      <c r="AL7" s="13">
        <v>2919</v>
      </c>
      <c r="AM7" s="13">
        <v>2781</v>
      </c>
      <c r="AN7" s="13">
        <v>3051</v>
      </c>
      <c r="AO7" s="13">
        <v>2878</v>
      </c>
      <c r="AP7" s="13">
        <v>3016</v>
      </c>
      <c r="AQ7" s="13">
        <v>2788</v>
      </c>
      <c r="AR7" s="13">
        <v>2975</v>
      </c>
      <c r="AS7" s="13">
        <v>2990</v>
      </c>
      <c r="AT7" s="13">
        <v>2976</v>
      </c>
      <c r="AU7" s="13">
        <v>2851</v>
      </c>
      <c r="AV7" s="13">
        <v>3006</v>
      </c>
      <c r="AW7" s="13">
        <v>2083</v>
      </c>
      <c r="AX7" s="13">
        <v>2152</v>
      </c>
      <c r="AY7" s="13">
        <v>2896</v>
      </c>
      <c r="AZ7" s="13">
        <v>2843</v>
      </c>
      <c r="BA7" s="13">
        <v>2863</v>
      </c>
      <c r="BB7" s="13">
        <v>3061</v>
      </c>
      <c r="BC7" s="13">
        <v>3169</v>
      </c>
    </row>
    <row r="8" spans="1:55" x14ac:dyDescent="0.2">
      <c r="A8" s="12"/>
      <c r="B8" s="15"/>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row>
    <row r="9" spans="1:55" x14ac:dyDescent="0.2">
      <c r="A9" s="16" t="s">
        <v>184</v>
      </c>
      <c r="B9" s="12"/>
      <c r="C9" s="11">
        <v>17391</v>
      </c>
      <c r="D9" s="11">
        <v>18837</v>
      </c>
      <c r="E9" s="11">
        <v>17343</v>
      </c>
      <c r="F9" s="11">
        <v>16100</v>
      </c>
      <c r="G9" s="11">
        <v>14848</v>
      </c>
      <c r="H9" s="11">
        <v>14213</v>
      </c>
      <c r="I9" s="11">
        <v>15229</v>
      </c>
      <c r="J9" s="11">
        <v>14551</v>
      </c>
      <c r="K9" s="11">
        <v>16081</v>
      </c>
      <c r="L9" s="11">
        <v>15495</v>
      </c>
      <c r="M9" s="11">
        <v>16643</v>
      </c>
      <c r="N9" s="11">
        <v>16269</v>
      </c>
      <c r="O9" s="11">
        <v>17068</v>
      </c>
      <c r="P9" s="11">
        <v>17111</v>
      </c>
      <c r="Q9" s="11">
        <v>16405</v>
      </c>
      <c r="R9" s="11">
        <v>16514</v>
      </c>
      <c r="S9" s="11">
        <v>17017</v>
      </c>
      <c r="T9" s="11">
        <v>17720</v>
      </c>
      <c r="U9" s="11">
        <v>16560</v>
      </c>
      <c r="V9" s="11">
        <v>17402</v>
      </c>
      <c r="W9" s="11">
        <v>17675</v>
      </c>
      <c r="X9" s="11">
        <v>15617</v>
      </c>
      <c r="Y9" s="11">
        <v>16662</v>
      </c>
      <c r="Z9" s="11">
        <v>17282</v>
      </c>
      <c r="AA9" s="11">
        <v>15903</v>
      </c>
      <c r="AB9" s="11">
        <v>17224</v>
      </c>
      <c r="AC9" s="11">
        <v>16030</v>
      </c>
      <c r="AD9" s="11">
        <v>16541</v>
      </c>
      <c r="AE9" s="11">
        <v>17144</v>
      </c>
      <c r="AF9" s="11">
        <v>16886</v>
      </c>
      <c r="AG9" s="11">
        <v>15874</v>
      </c>
      <c r="AH9" s="11">
        <v>17569</v>
      </c>
      <c r="AI9" s="11">
        <v>16797</v>
      </c>
      <c r="AJ9" s="11">
        <v>17131</v>
      </c>
      <c r="AK9" s="11">
        <v>16927</v>
      </c>
      <c r="AL9" s="11">
        <v>16616</v>
      </c>
      <c r="AM9" s="11">
        <v>16694</v>
      </c>
      <c r="AN9" s="11">
        <v>17660</v>
      </c>
      <c r="AO9" s="11">
        <v>16933</v>
      </c>
      <c r="AP9" s="11">
        <v>15518</v>
      </c>
      <c r="AQ9" s="11">
        <v>15922</v>
      </c>
      <c r="AR9" s="11">
        <v>16380</v>
      </c>
      <c r="AS9" s="11">
        <v>17182</v>
      </c>
      <c r="AT9" s="11">
        <v>15647</v>
      </c>
      <c r="AU9" s="11">
        <v>17256</v>
      </c>
      <c r="AV9" s="11">
        <v>17318</v>
      </c>
      <c r="AW9" s="11">
        <v>10620</v>
      </c>
      <c r="AX9" s="11">
        <v>11860</v>
      </c>
      <c r="AY9" s="11">
        <v>18229</v>
      </c>
      <c r="AZ9" s="11">
        <v>17293</v>
      </c>
      <c r="BA9" s="11">
        <v>17962</v>
      </c>
      <c r="BB9" s="11">
        <v>15185</v>
      </c>
      <c r="BC9" s="11">
        <v>17631</v>
      </c>
    </row>
    <row r="10" spans="1:55" x14ac:dyDescent="0.2">
      <c r="A10" s="12"/>
      <c r="B10" s="15" t="s">
        <v>185</v>
      </c>
      <c r="C10" s="13">
        <v>8771</v>
      </c>
      <c r="D10" s="13">
        <v>9933</v>
      </c>
      <c r="E10" s="13">
        <v>8965</v>
      </c>
      <c r="F10" s="13">
        <v>8614</v>
      </c>
      <c r="G10" s="13">
        <v>8212</v>
      </c>
      <c r="H10" s="13">
        <v>8353</v>
      </c>
      <c r="I10" s="13">
        <v>8458</v>
      </c>
      <c r="J10" s="13">
        <v>8124</v>
      </c>
      <c r="K10" s="13">
        <v>9098</v>
      </c>
      <c r="L10" s="13">
        <v>8687</v>
      </c>
      <c r="M10" s="13">
        <v>9106</v>
      </c>
      <c r="N10" s="13">
        <v>8899</v>
      </c>
      <c r="O10" s="13">
        <v>9647</v>
      </c>
      <c r="P10" s="13">
        <v>9337</v>
      </c>
      <c r="Q10" s="13">
        <v>8852</v>
      </c>
      <c r="R10" s="13">
        <v>9204</v>
      </c>
      <c r="S10" s="13">
        <v>9437</v>
      </c>
      <c r="T10" s="13">
        <v>9773</v>
      </c>
      <c r="U10" s="13">
        <v>8596</v>
      </c>
      <c r="V10" s="13">
        <v>9756</v>
      </c>
      <c r="W10" s="13">
        <v>9432</v>
      </c>
      <c r="X10" s="13">
        <v>8141</v>
      </c>
      <c r="Y10" s="13">
        <v>8464</v>
      </c>
      <c r="Z10" s="13">
        <v>9072</v>
      </c>
      <c r="AA10" s="13">
        <v>8405</v>
      </c>
      <c r="AB10" s="13">
        <v>8945</v>
      </c>
      <c r="AC10" s="13">
        <v>8193</v>
      </c>
      <c r="AD10" s="13">
        <v>8462</v>
      </c>
      <c r="AE10" s="13">
        <v>9025</v>
      </c>
      <c r="AF10" s="13">
        <v>9080</v>
      </c>
      <c r="AG10" s="13">
        <v>7992</v>
      </c>
      <c r="AH10" s="13">
        <v>9352</v>
      </c>
      <c r="AI10" s="13">
        <v>8784</v>
      </c>
      <c r="AJ10" s="13">
        <v>9024</v>
      </c>
      <c r="AK10" s="13">
        <v>9385</v>
      </c>
      <c r="AL10" s="13">
        <v>8796</v>
      </c>
      <c r="AM10" s="13">
        <v>8799</v>
      </c>
      <c r="AN10" s="13">
        <v>9124</v>
      </c>
      <c r="AO10" s="13">
        <v>9147</v>
      </c>
      <c r="AP10" s="13">
        <v>8573</v>
      </c>
      <c r="AQ10" s="13">
        <v>8707</v>
      </c>
      <c r="AR10" s="13">
        <v>8425</v>
      </c>
      <c r="AS10" s="13">
        <v>8974</v>
      </c>
      <c r="AT10" s="13">
        <v>7847</v>
      </c>
      <c r="AU10" s="13">
        <v>9376</v>
      </c>
      <c r="AV10" s="13">
        <v>8649</v>
      </c>
      <c r="AW10" s="13">
        <v>6133</v>
      </c>
      <c r="AX10" s="13">
        <v>6475</v>
      </c>
      <c r="AY10" s="13">
        <v>9255</v>
      </c>
      <c r="AZ10" s="13">
        <v>8407</v>
      </c>
      <c r="BA10" s="13">
        <v>8898</v>
      </c>
      <c r="BB10" s="13">
        <v>7811</v>
      </c>
      <c r="BC10" s="13">
        <v>8881</v>
      </c>
    </row>
    <row r="11" spans="1:55" x14ac:dyDescent="0.2">
      <c r="A11" s="12"/>
      <c r="B11" s="15" t="s">
        <v>186</v>
      </c>
      <c r="C11" s="13">
        <v>7946</v>
      </c>
      <c r="D11" s="13">
        <v>7876</v>
      </c>
      <c r="E11" s="13">
        <v>7384</v>
      </c>
      <c r="F11" s="13">
        <v>6474</v>
      </c>
      <c r="G11" s="13">
        <v>5836</v>
      </c>
      <c r="H11" s="13">
        <v>5141</v>
      </c>
      <c r="I11" s="13">
        <v>5774</v>
      </c>
      <c r="J11" s="13">
        <v>5660</v>
      </c>
      <c r="K11" s="13">
        <v>6369</v>
      </c>
      <c r="L11" s="13">
        <v>6095</v>
      </c>
      <c r="M11" s="13">
        <v>6634</v>
      </c>
      <c r="N11" s="13">
        <v>6594</v>
      </c>
      <c r="O11" s="13">
        <v>6355</v>
      </c>
      <c r="P11" s="13">
        <v>6531</v>
      </c>
      <c r="Q11" s="13">
        <v>6325</v>
      </c>
      <c r="R11" s="13">
        <v>6234</v>
      </c>
      <c r="S11" s="13">
        <v>6487</v>
      </c>
      <c r="T11" s="13">
        <v>6873</v>
      </c>
      <c r="U11" s="13">
        <v>6990</v>
      </c>
      <c r="V11" s="13">
        <v>6618</v>
      </c>
      <c r="W11" s="13">
        <v>7117</v>
      </c>
      <c r="X11" s="13">
        <v>6735</v>
      </c>
      <c r="Y11" s="13">
        <v>7094</v>
      </c>
      <c r="Z11" s="13">
        <v>7284</v>
      </c>
      <c r="AA11" s="13">
        <v>6523</v>
      </c>
      <c r="AB11" s="13">
        <v>7144</v>
      </c>
      <c r="AC11" s="13">
        <v>6996</v>
      </c>
      <c r="AD11" s="13">
        <v>7061</v>
      </c>
      <c r="AE11" s="13">
        <v>6944</v>
      </c>
      <c r="AF11" s="13">
        <v>6919</v>
      </c>
      <c r="AG11" s="13">
        <v>6842</v>
      </c>
      <c r="AH11" s="13">
        <v>7254</v>
      </c>
      <c r="AI11" s="13">
        <v>6911</v>
      </c>
      <c r="AJ11" s="13">
        <v>7168</v>
      </c>
      <c r="AK11" s="13">
        <v>6408</v>
      </c>
      <c r="AL11" s="13">
        <v>6777</v>
      </c>
      <c r="AM11" s="13">
        <v>6937</v>
      </c>
      <c r="AN11" s="13">
        <v>7524</v>
      </c>
      <c r="AO11" s="13">
        <v>6979</v>
      </c>
      <c r="AP11" s="13">
        <v>6151</v>
      </c>
      <c r="AQ11" s="13">
        <v>6564</v>
      </c>
      <c r="AR11" s="13">
        <v>6885</v>
      </c>
      <c r="AS11" s="13">
        <v>6894</v>
      </c>
      <c r="AT11" s="13">
        <v>6682</v>
      </c>
      <c r="AU11" s="13">
        <v>7119</v>
      </c>
      <c r="AV11" s="13">
        <v>7560</v>
      </c>
      <c r="AW11" s="13">
        <v>4140</v>
      </c>
      <c r="AX11" s="13">
        <v>4773</v>
      </c>
      <c r="AY11" s="13">
        <v>7959</v>
      </c>
      <c r="AZ11" s="13">
        <v>7770</v>
      </c>
      <c r="BA11" s="13">
        <v>7861</v>
      </c>
      <c r="BB11" s="13">
        <v>6723</v>
      </c>
      <c r="BC11" s="13">
        <v>7840</v>
      </c>
    </row>
    <row r="12" spans="1:55" x14ac:dyDescent="0.2">
      <c r="A12" s="12"/>
      <c r="B12" s="15" t="s">
        <v>187</v>
      </c>
      <c r="C12" s="13">
        <v>674</v>
      </c>
      <c r="D12" s="13">
        <v>1028</v>
      </c>
      <c r="E12" s="13">
        <v>994</v>
      </c>
      <c r="F12" s="13">
        <v>1012</v>
      </c>
      <c r="G12" s="13">
        <v>800</v>
      </c>
      <c r="H12" s="13">
        <v>719</v>
      </c>
      <c r="I12" s="13">
        <v>997</v>
      </c>
      <c r="J12" s="13">
        <v>767</v>
      </c>
      <c r="K12" s="13">
        <v>614</v>
      </c>
      <c r="L12" s="13">
        <v>713</v>
      </c>
      <c r="M12" s="13">
        <v>903</v>
      </c>
      <c r="N12" s="13">
        <v>776</v>
      </c>
      <c r="O12" s="13">
        <v>1066</v>
      </c>
      <c r="P12" s="13">
        <v>1243</v>
      </c>
      <c r="Q12" s="13">
        <v>1228</v>
      </c>
      <c r="R12" s="13">
        <v>1076</v>
      </c>
      <c r="S12" s="13">
        <v>1093</v>
      </c>
      <c r="T12" s="13">
        <v>1074</v>
      </c>
      <c r="U12" s="13">
        <v>974</v>
      </c>
      <c r="V12" s="13">
        <v>1028</v>
      </c>
      <c r="W12" s="13">
        <v>1126</v>
      </c>
      <c r="X12" s="13">
        <v>741</v>
      </c>
      <c r="Y12" s="13">
        <v>1104</v>
      </c>
      <c r="Z12" s="13">
        <v>926</v>
      </c>
      <c r="AA12" s="13">
        <v>975</v>
      </c>
      <c r="AB12" s="13">
        <v>1135</v>
      </c>
      <c r="AC12" s="13">
        <v>841</v>
      </c>
      <c r="AD12" s="13">
        <v>1018</v>
      </c>
      <c r="AE12" s="13">
        <v>1175</v>
      </c>
      <c r="AF12" s="13">
        <v>887</v>
      </c>
      <c r="AG12" s="13">
        <v>1040</v>
      </c>
      <c r="AH12" s="13">
        <v>963</v>
      </c>
      <c r="AI12" s="13">
        <v>1102</v>
      </c>
      <c r="AJ12" s="13">
        <v>939</v>
      </c>
      <c r="AK12" s="13">
        <v>1134</v>
      </c>
      <c r="AL12" s="13">
        <v>1043</v>
      </c>
      <c r="AM12" s="13">
        <v>958</v>
      </c>
      <c r="AN12" s="13">
        <v>1012</v>
      </c>
      <c r="AO12" s="13">
        <v>807</v>
      </c>
      <c r="AP12" s="13">
        <v>794</v>
      </c>
      <c r="AQ12" s="13">
        <v>651</v>
      </c>
      <c r="AR12" s="13">
        <v>1070</v>
      </c>
      <c r="AS12" s="13">
        <v>1314</v>
      </c>
      <c r="AT12" s="13">
        <v>1118</v>
      </c>
      <c r="AU12" s="13">
        <v>761</v>
      </c>
      <c r="AV12" s="13">
        <v>1109</v>
      </c>
      <c r="AW12" s="13">
        <v>347</v>
      </c>
      <c r="AX12" s="13">
        <v>612</v>
      </c>
      <c r="AY12" s="13">
        <v>1015</v>
      </c>
      <c r="AZ12" s="13">
        <v>1116</v>
      </c>
      <c r="BA12" s="13">
        <v>1203</v>
      </c>
      <c r="BB12" s="13">
        <v>651</v>
      </c>
      <c r="BC12" s="13">
        <v>910</v>
      </c>
    </row>
    <row r="13" spans="1:55" x14ac:dyDescent="0.2">
      <c r="A13" s="12"/>
      <c r="B13" s="15"/>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c r="BC13" s="13"/>
    </row>
    <row r="14" spans="1:55" x14ac:dyDescent="0.2">
      <c r="A14" s="9" t="s">
        <v>188</v>
      </c>
      <c r="B14" s="17"/>
      <c r="C14" s="11">
        <v>17397</v>
      </c>
      <c r="D14" s="11">
        <v>18409</v>
      </c>
      <c r="E14" s="11">
        <v>17632</v>
      </c>
      <c r="F14" s="11">
        <v>16734</v>
      </c>
      <c r="G14" s="11">
        <v>15241</v>
      </c>
      <c r="H14" s="11">
        <v>16190</v>
      </c>
      <c r="I14" s="11">
        <v>17095</v>
      </c>
      <c r="J14" s="11">
        <v>18645</v>
      </c>
      <c r="K14" s="11">
        <v>15876</v>
      </c>
      <c r="L14" s="11">
        <v>17692</v>
      </c>
      <c r="M14" s="11">
        <v>18384</v>
      </c>
      <c r="N14" s="11">
        <v>18378</v>
      </c>
      <c r="O14" s="11">
        <v>18184</v>
      </c>
      <c r="P14" s="11">
        <v>18641</v>
      </c>
      <c r="Q14" s="11">
        <v>16604</v>
      </c>
      <c r="R14" s="11">
        <v>17336</v>
      </c>
      <c r="S14" s="11">
        <v>18441</v>
      </c>
      <c r="T14" s="11">
        <v>18457</v>
      </c>
      <c r="U14" s="11">
        <v>19001</v>
      </c>
      <c r="V14" s="11">
        <v>18172</v>
      </c>
      <c r="W14" s="11">
        <v>19217</v>
      </c>
      <c r="X14" s="11">
        <v>18325</v>
      </c>
      <c r="Y14" s="11">
        <v>18787</v>
      </c>
      <c r="Z14" s="11">
        <v>18732</v>
      </c>
      <c r="AA14" s="11">
        <v>18880</v>
      </c>
      <c r="AB14" s="11">
        <v>20751</v>
      </c>
      <c r="AC14" s="11">
        <v>19571</v>
      </c>
      <c r="AD14" s="11">
        <v>19322</v>
      </c>
      <c r="AE14" s="11">
        <v>18181</v>
      </c>
      <c r="AF14" s="11">
        <v>19365</v>
      </c>
      <c r="AG14" s="11">
        <v>18871</v>
      </c>
      <c r="AH14" s="11">
        <v>18381</v>
      </c>
      <c r="AI14" s="11">
        <v>17601</v>
      </c>
      <c r="AJ14" s="11">
        <v>19698</v>
      </c>
      <c r="AK14" s="11">
        <v>18628</v>
      </c>
      <c r="AL14" s="11">
        <v>18367</v>
      </c>
      <c r="AM14" s="11">
        <v>18497</v>
      </c>
      <c r="AN14" s="11">
        <v>17933</v>
      </c>
      <c r="AO14" s="11">
        <v>17837</v>
      </c>
      <c r="AP14" s="11">
        <v>13711</v>
      </c>
      <c r="AQ14" s="11">
        <v>16391</v>
      </c>
      <c r="AR14" s="11">
        <v>15493</v>
      </c>
      <c r="AS14" s="11">
        <v>17666</v>
      </c>
      <c r="AT14" s="11">
        <v>16059</v>
      </c>
      <c r="AU14" s="11">
        <v>16188</v>
      </c>
      <c r="AV14" s="11">
        <v>17545</v>
      </c>
      <c r="AW14" s="11">
        <v>14879</v>
      </c>
      <c r="AX14" s="11">
        <v>15118</v>
      </c>
      <c r="AY14" s="11">
        <v>15929</v>
      </c>
      <c r="AZ14" s="11">
        <v>14944</v>
      </c>
      <c r="BA14" s="11">
        <v>16019</v>
      </c>
      <c r="BB14" s="11">
        <v>16606</v>
      </c>
      <c r="BC14" s="11">
        <v>16038</v>
      </c>
    </row>
    <row r="15" spans="1:55" x14ac:dyDescent="0.2">
      <c r="A15" s="12"/>
      <c r="B15" s="15" t="s">
        <v>189</v>
      </c>
      <c r="C15" s="13">
        <v>2629</v>
      </c>
      <c r="D15" s="13">
        <v>3172</v>
      </c>
      <c r="E15" s="13">
        <v>2762</v>
      </c>
      <c r="F15" s="13">
        <v>3015</v>
      </c>
      <c r="G15" s="13">
        <v>2405</v>
      </c>
      <c r="H15" s="13">
        <v>2682</v>
      </c>
      <c r="I15" s="13">
        <v>2373</v>
      </c>
      <c r="J15" s="13">
        <v>3025</v>
      </c>
      <c r="K15" s="13">
        <v>2715</v>
      </c>
      <c r="L15" s="13">
        <v>3233</v>
      </c>
      <c r="M15" s="13">
        <v>2841</v>
      </c>
      <c r="N15" s="13">
        <v>3460</v>
      </c>
      <c r="O15" s="13">
        <v>3166</v>
      </c>
      <c r="P15" s="13">
        <v>3446</v>
      </c>
      <c r="Q15" s="13">
        <v>2890</v>
      </c>
      <c r="R15" s="13">
        <v>3364</v>
      </c>
      <c r="S15" s="13">
        <v>3075</v>
      </c>
      <c r="T15" s="13">
        <v>3405</v>
      </c>
      <c r="U15" s="13">
        <v>3828</v>
      </c>
      <c r="V15" s="13">
        <v>3691</v>
      </c>
      <c r="W15" s="13">
        <v>3827</v>
      </c>
      <c r="X15" s="13">
        <v>3224</v>
      </c>
      <c r="Y15" s="13">
        <v>4262</v>
      </c>
      <c r="Z15" s="13">
        <v>3424</v>
      </c>
      <c r="AA15" s="13">
        <v>3460</v>
      </c>
      <c r="AB15" s="13">
        <v>4341</v>
      </c>
      <c r="AC15" s="13">
        <v>3403</v>
      </c>
      <c r="AD15" s="13">
        <v>3462</v>
      </c>
      <c r="AE15" s="13">
        <v>4010</v>
      </c>
      <c r="AF15" s="13">
        <v>4020</v>
      </c>
      <c r="AG15" s="13">
        <v>3657</v>
      </c>
      <c r="AH15" s="13">
        <v>3495</v>
      </c>
      <c r="AI15" s="13">
        <v>3444</v>
      </c>
      <c r="AJ15" s="13">
        <v>3836</v>
      </c>
      <c r="AK15" s="13">
        <v>3539</v>
      </c>
      <c r="AL15" s="13">
        <v>2958</v>
      </c>
      <c r="AM15" s="13">
        <v>2480</v>
      </c>
      <c r="AN15" s="13">
        <v>2672</v>
      </c>
      <c r="AO15" s="13">
        <v>2868</v>
      </c>
      <c r="AP15" s="13">
        <v>3317</v>
      </c>
      <c r="AQ15" s="13">
        <v>2607</v>
      </c>
      <c r="AR15" s="13">
        <v>2971</v>
      </c>
      <c r="AS15" s="13">
        <v>3192</v>
      </c>
      <c r="AT15" s="13">
        <v>2142</v>
      </c>
      <c r="AU15" s="13">
        <v>2393</v>
      </c>
      <c r="AV15" s="13">
        <v>2649</v>
      </c>
      <c r="AW15" s="13">
        <v>1598</v>
      </c>
      <c r="AX15" s="13">
        <v>1399</v>
      </c>
      <c r="AY15" s="13">
        <v>1892</v>
      </c>
      <c r="AZ15" s="13">
        <v>2083</v>
      </c>
      <c r="BA15" s="13">
        <v>2063</v>
      </c>
      <c r="BB15" s="13">
        <v>2158</v>
      </c>
      <c r="BC15" s="13">
        <v>2647</v>
      </c>
    </row>
    <row r="16" spans="1:55" x14ac:dyDescent="0.2">
      <c r="A16" s="12"/>
      <c r="B16" s="15" t="s">
        <v>190</v>
      </c>
      <c r="C16" s="13">
        <v>1689</v>
      </c>
      <c r="D16" s="13">
        <v>1609</v>
      </c>
      <c r="E16" s="13">
        <v>1883</v>
      </c>
      <c r="F16" s="13">
        <v>1772</v>
      </c>
      <c r="G16" s="13">
        <v>1758</v>
      </c>
      <c r="H16" s="13">
        <v>1618</v>
      </c>
      <c r="I16" s="13">
        <v>1515</v>
      </c>
      <c r="J16" s="13">
        <v>1770</v>
      </c>
      <c r="K16" s="13">
        <v>1624</v>
      </c>
      <c r="L16" s="13">
        <v>1729</v>
      </c>
      <c r="M16" s="13">
        <v>1693</v>
      </c>
      <c r="N16" s="13">
        <v>1853</v>
      </c>
      <c r="O16" s="13">
        <v>1989</v>
      </c>
      <c r="P16" s="13">
        <v>1848</v>
      </c>
      <c r="Q16" s="13">
        <v>1621</v>
      </c>
      <c r="R16" s="13">
        <v>1658</v>
      </c>
      <c r="S16" s="13">
        <v>1493</v>
      </c>
      <c r="T16" s="13">
        <v>1632</v>
      </c>
      <c r="U16" s="13">
        <v>1526</v>
      </c>
      <c r="V16" s="13">
        <v>1670</v>
      </c>
      <c r="W16" s="13">
        <v>1702</v>
      </c>
      <c r="X16" s="13">
        <v>1752</v>
      </c>
      <c r="Y16" s="13">
        <v>1664</v>
      </c>
      <c r="Z16" s="13">
        <v>1665</v>
      </c>
      <c r="AA16" s="13">
        <v>1791</v>
      </c>
      <c r="AB16" s="13">
        <v>1847</v>
      </c>
      <c r="AC16" s="13">
        <v>1772</v>
      </c>
      <c r="AD16" s="13">
        <v>1733</v>
      </c>
      <c r="AE16" s="13">
        <v>1648</v>
      </c>
      <c r="AF16" s="13">
        <v>1897</v>
      </c>
      <c r="AG16" s="13">
        <v>1950</v>
      </c>
      <c r="AH16" s="13">
        <v>1705</v>
      </c>
      <c r="AI16" s="13">
        <v>1867</v>
      </c>
      <c r="AJ16" s="13">
        <v>1913</v>
      </c>
      <c r="AK16" s="13">
        <v>2069</v>
      </c>
      <c r="AL16" s="13">
        <v>1766</v>
      </c>
      <c r="AM16" s="13">
        <v>1885</v>
      </c>
      <c r="AN16" s="13">
        <v>1983</v>
      </c>
      <c r="AO16" s="13">
        <v>1861</v>
      </c>
      <c r="AP16" s="13">
        <v>1695</v>
      </c>
      <c r="AQ16" s="13">
        <v>1512</v>
      </c>
      <c r="AR16" s="13">
        <v>1613</v>
      </c>
      <c r="AS16" s="13">
        <v>1626</v>
      </c>
      <c r="AT16" s="13">
        <v>1861</v>
      </c>
      <c r="AU16" s="13">
        <v>1492</v>
      </c>
      <c r="AV16" s="13">
        <v>1381</v>
      </c>
      <c r="AW16" s="13">
        <v>1069</v>
      </c>
      <c r="AX16" s="13">
        <v>1109</v>
      </c>
      <c r="AY16" s="13">
        <v>1602</v>
      </c>
      <c r="AZ16" s="13">
        <v>1793</v>
      </c>
      <c r="BA16" s="13">
        <v>2010</v>
      </c>
      <c r="BB16" s="13">
        <v>1725</v>
      </c>
      <c r="BC16" s="13">
        <v>1750</v>
      </c>
    </row>
    <row r="17" spans="1:55" x14ac:dyDescent="0.2">
      <c r="A17" s="12"/>
      <c r="B17" s="15" t="s">
        <v>191</v>
      </c>
      <c r="C17" s="13">
        <v>11786</v>
      </c>
      <c r="D17" s="13">
        <v>11758</v>
      </c>
      <c r="E17" s="13">
        <v>11092</v>
      </c>
      <c r="F17" s="13">
        <v>10480</v>
      </c>
      <c r="G17" s="13">
        <v>9619</v>
      </c>
      <c r="H17" s="13">
        <v>10454</v>
      </c>
      <c r="I17" s="13">
        <v>11605</v>
      </c>
      <c r="J17" s="13">
        <v>12287</v>
      </c>
      <c r="K17" s="13">
        <v>9918</v>
      </c>
      <c r="L17" s="13">
        <v>11060</v>
      </c>
      <c r="M17" s="13">
        <v>12214</v>
      </c>
      <c r="N17" s="13">
        <v>11283</v>
      </c>
      <c r="O17" s="13">
        <v>11060</v>
      </c>
      <c r="P17" s="13">
        <v>11226</v>
      </c>
      <c r="Q17" s="13">
        <v>10259</v>
      </c>
      <c r="R17" s="13">
        <v>10649</v>
      </c>
      <c r="S17" s="13">
        <v>12068</v>
      </c>
      <c r="T17" s="13">
        <v>11718</v>
      </c>
      <c r="U17" s="13">
        <v>11933</v>
      </c>
      <c r="V17" s="13">
        <v>11179</v>
      </c>
      <c r="W17" s="13">
        <v>12128</v>
      </c>
      <c r="X17" s="13">
        <v>11723</v>
      </c>
      <c r="Y17" s="13">
        <v>11235</v>
      </c>
      <c r="Z17" s="13">
        <v>11893</v>
      </c>
      <c r="AA17" s="13">
        <v>11995</v>
      </c>
      <c r="AB17" s="13">
        <v>12857</v>
      </c>
      <c r="AC17" s="13">
        <v>13015</v>
      </c>
      <c r="AD17" s="13">
        <v>12405</v>
      </c>
      <c r="AE17" s="13">
        <v>10740</v>
      </c>
      <c r="AF17" s="13">
        <v>11918</v>
      </c>
      <c r="AG17" s="13">
        <v>11709</v>
      </c>
      <c r="AH17" s="13">
        <v>11526</v>
      </c>
      <c r="AI17" s="13">
        <v>10461</v>
      </c>
      <c r="AJ17" s="13">
        <v>12211</v>
      </c>
      <c r="AK17" s="13">
        <v>11197</v>
      </c>
      <c r="AL17" s="13">
        <v>12124</v>
      </c>
      <c r="AM17" s="13">
        <v>12377</v>
      </c>
      <c r="AN17" s="13">
        <v>11564</v>
      </c>
      <c r="AO17" s="13">
        <v>11343</v>
      </c>
      <c r="AP17" s="13">
        <v>6969</v>
      </c>
      <c r="AQ17" s="13">
        <v>10675</v>
      </c>
      <c r="AR17" s="13">
        <v>9372</v>
      </c>
      <c r="AS17" s="13">
        <v>11253</v>
      </c>
      <c r="AT17" s="13">
        <v>10381</v>
      </c>
      <c r="AU17" s="13">
        <v>10756</v>
      </c>
      <c r="AV17" s="13">
        <v>11855</v>
      </c>
      <c r="AW17" s="13">
        <v>11090</v>
      </c>
      <c r="AX17" s="13">
        <v>11456</v>
      </c>
      <c r="AY17" s="13">
        <v>10897</v>
      </c>
      <c r="AZ17" s="13">
        <v>9675</v>
      </c>
      <c r="BA17" s="13">
        <v>10492</v>
      </c>
      <c r="BB17" s="13">
        <v>11710</v>
      </c>
      <c r="BC17" s="13">
        <v>10548</v>
      </c>
    </row>
    <row r="18" spans="1:55" x14ac:dyDescent="0.2">
      <c r="A18" s="12"/>
      <c r="B18" s="15" t="s">
        <v>192</v>
      </c>
      <c r="C18" s="13">
        <v>782</v>
      </c>
      <c r="D18" s="13">
        <v>1146</v>
      </c>
      <c r="E18" s="13">
        <v>1210</v>
      </c>
      <c r="F18" s="13">
        <v>866</v>
      </c>
      <c r="G18" s="13">
        <v>889</v>
      </c>
      <c r="H18" s="13">
        <v>916</v>
      </c>
      <c r="I18" s="13">
        <v>881</v>
      </c>
      <c r="J18" s="13">
        <v>974</v>
      </c>
      <c r="K18" s="13">
        <v>944</v>
      </c>
      <c r="L18" s="13">
        <v>1016</v>
      </c>
      <c r="M18" s="13">
        <v>1034</v>
      </c>
      <c r="N18" s="13">
        <v>1031</v>
      </c>
      <c r="O18" s="13">
        <v>1128</v>
      </c>
      <c r="P18" s="13">
        <v>1308</v>
      </c>
      <c r="Q18" s="13">
        <v>1041</v>
      </c>
      <c r="R18" s="13">
        <v>939</v>
      </c>
      <c r="S18" s="13">
        <v>948</v>
      </c>
      <c r="T18" s="13">
        <v>947</v>
      </c>
      <c r="U18" s="13">
        <v>912</v>
      </c>
      <c r="V18" s="13">
        <v>893</v>
      </c>
      <c r="W18" s="13">
        <v>876</v>
      </c>
      <c r="X18" s="13">
        <v>903</v>
      </c>
      <c r="Y18" s="13">
        <v>929</v>
      </c>
      <c r="Z18" s="13">
        <v>926</v>
      </c>
      <c r="AA18" s="13">
        <v>984</v>
      </c>
      <c r="AB18" s="13">
        <v>1002</v>
      </c>
      <c r="AC18" s="13">
        <v>907</v>
      </c>
      <c r="AD18" s="13">
        <v>1053</v>
      </c>
      <c r="AE18" s="13">
        <v>1011</v>
      </c>
      <c r="AF18" s="13">
        <v>872</v>
      </c>
      <c r="AG18" s="13">
        <v>905</v>
      </c>
      <c r="AH18" s="13">
        <v>1048</v>
      </c>
      <c r="AI18" s="13">
        <v>991</v>
      </c>
      <c r="AJ18" s="13">
        <v>991</v>
      </c>
      <c r="AK18" s="13">
        <v>1013</v>
      </c>
      <c r="AL18" s="13">
        <v>944</v>
      </c>
      <c r="AM18" s="13">
        <v>1059</v>
      </c>
      <c r="AN18" s="13">
        <v>1006</v>
      </c>
      <c r="AO18" s="13">
        <v>1010</v>
      </c>
      <c r="AP18" s="13">
        <v>971</v>
      </c>
      <c r="AQ18" s="13">
        <v>916</v>
      </c>
      <c r="AR18" s="13">
        <v>901</v>
      </c>
      <c r="AS18" s="13">
        <v>905</v>
      </c>
      <c r="AT18" s="13">
        <v>946</v>
      </c>
      <c r="AU18" s="13">
        <v>952</v>
      </c>
      <c r="AV18" s="13">
        <v>867</v>
      </c>
      <c r="AW18" s="13">
        <v>644</v>
      </c>
      <c r="AX18" s="13">
        <v>632</v>
      </c>
      <c r="AY18" s="13">
        <v>702</v>
      </c>
      <c r="AZ18" s="13">
        <v>634</v>
      </c>
      <c r="BA18" s="13">
        <v>690</v>
      </c>
      <c r="BB18" s="13">
        <v>614</v>
      </c>
      <c r="BC18" s="13">
        <v>613</v>
      </c>
    </row>
    <row r="19" spans="1:55" x14ac:dyDescent="0.2">
      <c r="A19" s="12"/>
      <c r="B19" s="15" t="s">
        <v>193</v>
      </c>
      <c r="C19" s="13">
        <v>364</v>
      </c>
      <c r="D19" s="13">
        <v>584</v>
      </c>
      <c r="E19" s="13">
        <v>535</v>
      </c>
      <c r="F19" s="13">
        <v>471</v>
      </c>
      <c r="G19" s="13">
        <v>427</v>
      </c>
      <c r="H19" s="13">
        <v>394</v>
      </c>
      <c r="I19" s="13">
        <v>551</v>
      </c>
      <c r="J19" s="13">
        <v>444</v>
      </c>
      <c r="K19" s="13">
        <v>505</v>
      </c>
      <c r="L19" s="13">
        <v>512</v>
      </c>
      <c r="M19" s="13">
        <v>463</v>
      </c>
      <c r="N19" s="13">
        <v>603</v>
      </c>
      <c r="O19" s="13">
        <v>670</v>
      </c>
      <c r="P19" s="13">
        <v>630</v>
      </c>
      <c r="Q19" s="13">
        <v>604</v>
      </c>
      <c r="R19" s="13">
        <v>544</v>
      </c>
      <c r="S19" s="13">
        <v>626</v>
      </c>
      <c r="T19" s="13">
        <v>550</v>
      </c>
      <c r="U19" s="13">
        <v>561</v>
      </c>
      <c r="V19" s="13">
        <v>536</v>
      </c>
      <c r="W19" s="13">
        <v>473</v>
      </c>
      <c r="X19" s="13">
        <v>533</v>
      </c>
      <c r="Y19" s="13">
        <v>522</v>
      </c>
      <c r="Z19" s="13">
        <v>625</v>
      </c>
      <c r="AA19" s="13">
        <v>515</v>
      </c>
      <c r="AB19" s="13">
        <v>544</v>
      </c>
      <c r="AC19" s="13">
        <v>309</v>
      </c>
      <c r="AD19" s="13">
        <v>497</v>
      </c>
      <c r="AE19" s="13">
        <v>558</v>
      </c>
      <c r="AF19" s="13">
        <v>477</v>
      </c>
      <c r="AG19" s="13">
        <v>469</v>
      </c>
      <c r="AH19" s="13">
        <v>462</v>
      </c>
      <c r="AI19" s="13">
        <v>623</v>
      </c>
      <c r="AJ19" s="13">
        <v>554</v>
      </c>
      <c r="AK19" s="13">
        <v>628</v>
      </c>
      <c r="AL19" s="13">
        <v>403</v>
      </c>
      <c r="AM19" s="13">
        <v>457</v>
      </c>
      <c r="AN19" s="13">
        <v>500</v>
      </c>
      <c r="AO19" s="13">
        <v>538</v>
      </c>
      <c r="AP19" s="13">
        <v>544</v>
      </c>
      <c r="AQ19" s="13">
        <v>471</v>
      </c>
      <c r="AR19" s="13">
        <v>392</v>
      </c>
      <c r="AS19" s="13">
        <v>474</v>
      </c>
      <c r="AT19" s="13">
        <v>456</v>
      </c>
      <c r="AU19" s="13">
        <v>404</v>
      </c>
      <c r="AV19" s="13">
        <v>560</v>
      </c>
      <c r="AW19" s="13">
        <v>312</v>
      </c>
      <c r="AX19" s="13">
        <v>359</v>
      </c>
      <c r="AY19" s="13">
        <v>625</v>
      </c>
      <c r="AZ19" s="13">
        <v>571</v>
      </c>
      <c r="BA19" s="13">
        <v>569</v>
      </c>
      <c r="BB19" s="13">
        <v>271</v>
      </c>
      <c r="BC19" s="13">
        <v>307</v>
      </c>
    </row>
    <row r="20" spans="1:55" x14ac:dyDescent="0.2">
      <c r="A20" s="42"/>
      <c r="B20" s="12" t="s">
        <v>194</v>
      </c>
      <c r="C20" s="13">
        <v>147</v>
      </c>
      <c r="D20" s="13">
        <v>140</v>
      </c>
      <c r="E20" s="13">
        <v>150</v>
      </c>
      <c r="F20" s="13">
        <v>130</v>
      </c>
      <c r="G20" s="13">
        <v>143</v>
      </c>
      <c r="H20" s="13">
        <v>126</v>
      </c>
      <c r="I20" s="13">
        <v>170</v>
      </c>
      <c r="J20" s="13">
        <v>145</v>
      </c>
      <c r="K20" s="13">
        <v>170</v>
      </c>
      <c r="L20" s="13">
        <v>142</v>
      </c>
      <c r="M20" s="13">
        <v>139</v>
      </c>
      <c r="N20" s="13">
        <v>148</v>
      </c>
      <c r="O20" s="13">
        <v>171</v>
      </c>
      <c r="P20" s="13">
        <v>183</v>
      </c>
      <c r="Q20" s="13">
        <v>189</v>
      </c>
      <c r="R20" s="13">
        <v>182</v>
      </c>
      <c r="S20" s="13">
        <v>231</v>
      </c>
      <c r="T20" s="13">
        <v>205</v>
      </c>
      <c r="U20" s="13">
        <v>241</v>
      </c>
      <c r="V20" s="13">
        <v>203</v>
      </c>
      <c r="W20" s="13">
        <v>211</v>
      </c>
      <c r="X20" s="13">
        <v>190</v>
      </c>
      <c r="Y20" s="13">
        <v>175</v>
      </c>
      <c r="Z20" s="13">
        <v>199</v>
      </c>
      <c r="AA20" s="13">
        <v>135</v>
      </c>
      <c r="AB20" s="13">
        <v>160</v>
      </c>
      <c r="AC20" s="13">
        <v>165</v>
      </c>
      <c r="AD20" s="13">
        <v>172</v>
      </c>
      <c r="AE20" s="13">
        <v>214</v>
      </c>
      <c r="AF20" s="13">
        <v>181</v>
      </c>
      <c r="AG20" s="13">
        <v>181</v>
      </c>
      <c r="AH20" s="13">
        <v>145</v>
      </c>
      <c r="AI20" s="13">
        <v>215</v>
      </c>
      <c r="AJ20" s="13">
        <v>193</v>
      </c>
      <c r="AK20" s="13">
        <v>182</v>
      </c>
      <c r="AL20" s="13">
        <v>172</v>
      </c>
      <c r="AM20" s="13">
        <v>239</v>
      </c>
      <c r="AN20" s="13">
        <v>208</v>
      </c>
      <c r="AO20" s="13">
        <v>217</v>
      </c>
      <c r="AP20" s="13">
        <v>215</v>
      </c>
      <c r="AQ20" s="13">
        <v>210</v>
      </c>
      <c r="AR20" s="13">
        <v>244</v>
      </c>
      <c r="AS20" s="13">
        <v>216</v>
      </c>
      <c r="AT20" s="13">
        <v>273</v>
      </c>
      <c r="AU20" s="13">
        <v>191</v>
      </c>
      <c r="AV20" s="13">
        <v>233</v>
      </c>
      <c r="AW20" s="13">
        <v>166</v>
      </c>
      <c r="AX20" s="13">
        <v>163</v>
      </c>
      <c r="AY20" s="13">
        <v>211</v>
      </c>
      <c r="AZ20" s="13">
        <v>188</v>
      </c>
      <c r="BA20" s="13">
        <v>195</v>
      </c>
      <c r="BB20" s="13">
        <v>128</v>
      </c>
      <c r="BC20" s="13">
        <v>173</v>
      </c>
    </row>
    <row r="22" spans="1:55" x14ac:dyDescent="0.2">
      <c r="A22" s="9" t="s">
        <v>195</v>
      </c>
      <c r="B22" s="42"/>
      <c r="C22" s="5">
        <v>1619</v>
      </c>
      <c r="D22" s="5">
        <v>2058</v>
      </c>
      <c r="E22" s="5">
        <v>1830</v>
      </c>
      <c r="F22" s="5">
        <v>1793</v>
      </c>
      <c r="G22" s="5">
        <v>1464</v>
      </c>
      <c r="H22" s="5">
        <v>1965</v>
      </c>
      <c r="I22" s="5">
        <v>1707</v>
      </c>
      <c r="J22" s="5">
        <v>1722</v>
      </c>
      <c r="K22" s="5">
        <v>1431</v>
      </c>
      <c r="L22" s="5">
        <v>1624</v>
      </c>
      <c r="M22" s="5">
        <v>1693</v>
      </c>
      <c r="N22" s="5">
        <v>1858</v>
      </c>
      <c r="O22" s="5">
        <v>1950</v>
      </c>
      <c r="P22" s="5">
        <v>2322</v>
      </c>
      <c r="Q22" s="5">
        <v>2001</v>
      </c>
      <c r="R22" s="5">
        <v>1989</v>
      </c>
      <c r="S22" s="5">
        <v>1813</v>
      </c>
      <c r="T22" s="5">
        <v>2763</v>
      </c>
      <c r="U22" s="5">
        <v>1990</v>
      </c>
      <c r="V22" s="5">
        <v>2843</v>
      </c>
      <c r="W22" s="5">
        <v>1930</v>
      </c>
      <c r="X22" s="5">
        <v>1710</v>
      </c>
      <c r="Y22" s="5">
        <v>2155</v>
      </c>
      <c r="Z22" s="5">
        <v>1667</v>
      </c>
      <c r="AA22" s="5">
        <v>1865</v>
      </c>
      <c r="AB22" s="5">
        <v>1664</v>
      </c>
      <c r="AC22" s="5">
        <v>1344</v>
      </c>
      <c r="AD22" s="5">
        <v>1743</v>
      </c>
      <c r="AE22" s="5">
        <v>1956</v>
      </c>
      <c r="AF22" s="5">
        <v>1983</v>
      </c>
      <c r="AG22" s="5">
        <v>1819</v>
      </c>
      <c r="AH22" s="5">
        <v>1538</v>
      </c>
      <c r="AI22" s="5">
        <v>1843</v>
      </c>
      <c r="AJ22" s="5">
        <v>1792</v>
      </c>
      <c r="AK22" s="5">
        <v>1978</v>
      </c>
      <c r="AL22" s="5">
        <v>1610</v>
      </c>
      <c r="AM22" s="5">
        <v>2212</v>
      </c>
      <c r="AN22" s="5">
        <v>2241</v>
      </c>
      <c r="AO22" s="5">
        <v>2215</v>
      </c>
      <c r="AP22" s="5">
        <v>2099</v>
      </c>
      <c r="AQ22" s="5">
        <v>1724</v>
      </c>
      <c r="AR22" s="5">
        <v>2304</v>
      </c>
      <c r="AS22" s="5">
        <v>2388</v>
      </c>
      <c r="AT22" s="5">
        <v>2097</v>
      </c>
      <c r="AU22" s="5">
        <v>2048</v>
      </c>
      <c r="AV22" s="5">
        <v>1812</v>
      </c>
      <c r="AW22" s="5">
        <v>1085</v>
      </c>
      <c r="AX22" s="5">
        <v>1389</v>
      </c>
      <c r="AY22" s="5">
        <v>1983</v>
      </c>
      <c r="AZ22" s="5">
        <v>2294</v>
      </c>
      <c r="BA22" s="5">
        <v>2542</v>
      </c>
      <c r="BB22" s="5">
        <v>1524</v>
      </c>
      <c r="BC22" s="5">
        <v>1861</v>
      </c>
    </row>
    <row r="23" spans="1:55" x14ac:dyDescent="0.2">
      <c r="A23" s="12"/>
      <c r="B23" s="15"/>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row>
    <row r="24" spans="1:55" x14ac:dyDescent="0.2">
      <c r="A24" s="9" t="s">
        <v>196</v>
      </c>
      <c r="B24" s="42"/>
      <c r="C24" s="5">
        <v>3763</v>
      </c>
      <c r="D24" s="5">
        <v>4753</v>
      </c>
      <c r="E24" s="5">
        <v>5805</v>
      </c>
      <c r="F24" s="5">
        <v>4319</v>
      </c>
      <c r="G24" s="5">
        <v>4179</v>
      </c>
      <c r="H24" s="5">
        <v>5090</v>
      </c>
      <c r="I24" s="5">
        <v>5590</v>
      </c>
      <c r="J24" s="5">
        <v>4783</v>
      </c>
      <c r="K24" s="5">
        <v>5465</v>
      </c>
      <c r="L24" s="5">
        <v>5442</v>
      </c>
      <c r="M24" s="5">
        <v>5376</v>
      </c>
      <c r="N24" s="5">
        <v>5912</v>
      </c>
      <c r="O24" s="5">
        <v>5809</v>
      </c>
      <c r="P24" s="5">
        <v>6024</v>
      </c>
      <c r="Q24" s="5">
        <v>6182</v>
      </c>
      <c r="R24" s="5">
        <v>5551</v>
      </c>
      <c r="S24" s="5">
        <v>5715</v>
      </c>
      <c r="T24" s="5">
        <v>6578</v>
      </c>
      <c r="U24" s="5">
        <v>6077</v>
      </c>
      <c r="V24" s="5">
        <v>5982</v>
      </c>
      <c r="W24" s="5">
        <v>5690</v>
      </c>
      <c r="X24" s="5">
        <v>5027</v>
      </c>
      <c r="Y24" s="5">
        <v>5312</v>
      </c>
      <c r="Z24" s="5">
        <v>5670</v>
      </c>
      <c r="AA24" s="5">
        <v>5861</v>
      </c>
      <c r="AB24" s="5">
        <v>5423</v>
      </c>
      <c r="AC24" s="5">
        <v>3776</v>
      </c>
      <c r="AD24" s="5">
        <v>3899</v>
      </c>
      <c r="AE24" s="5">
        <v>4647</v>
      </c>
      <c r="AF24" s="5">
        <v>5634</v>
      </c>
      <c r="AG24" s="5">
        <v>5381</v>
      </c>
      <c r="AH24" s="5">
        <v>5405</v>
      </c>
      <c r="AI24" s="5">
        <v>5880</v>
      </c>
      <c r="AJ24" s="5">
        <v>5592</v>
      </c>
      <c r="AK24" s="5">
        <v>5802</v>
      </c>
      <c r="AL24" s="5">
        <v>4644</v>
      </c>
      <c r="AM24" s="5">
        <v>5273</v>
      </c>
      <c r="AN24" s="5">
        <v>5351</v>
      </c>
      <c r="AO24" s="5">
        <v>5012</v>
      </c>
      <c r="AP24" s="5">
        <v>4915</v>
      </c>
      <c r="AQ24" s="5">
        <v>4729</v>
      </c>
      <c r="AR24" s="5">
        <v>4478</v>
      </c>
      <c r="AS24" s="5">
        <v>4331</v>
      </c>
      <c r="AT24" s="5">
        <v>4840</v>
      </c>
      <c r="AU24" s="5">
        <v>5551</v>
      </c>
      <c r="AV24" s="5">
        <v>5096</v>
      </c>
      <c r="AW24" s="5">
        <v>4083</v>
      </c>
      <c r="AX24" s="5">
        <v>3371</v>
      </c>
      <c r="AY24" s="5">
        <v>5194</v>
      </c>
      <c r="AZ24" s="5">
        <v>5833</v>
      </c>
      <c r="BA24" s="5">
        <v>5718</v>
      </c>
      <c r="BB24" s="5">
        <v>2610</v>
      </c>
      <c r="BC24" s="5">
        <v>2381</v>
      </c>
    </row>
    <row r="25" spans="1:55" x14ac:dyDescent="0.2">
      <c r="A25" s="12"/>
      <c r="B25" s="15"/>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row>
    <row r="26" spans="1:55" x14ac:dyDescent="0.2">
      <c r="A26" s="18" t="s">
        <v>197</v>
      </c>
      <c r="B26" s="19"/>
      <c r="C26" s="20">
        <v>45851</v>
      </c>
      <c r="D26" s="20">
        <v>51269</v>
      </c>
      <c r="E26" s="20">
        <v>50543</v>
      </c>
      <c r="F26" s="20">
        <v>46465</v>
      </c>
      <c r="G26" s="20">
        <v>42939</v>
      </c>
      <c r="H26" s="20">
        <v>43820</v>
      </c>
      <c r="I26" s="20">
        <v>46339</v>
      </c>
      <c r="J26" s="20">
        <v>46244</v>
      </c>
      <c r="K26" s="20">
        <v>45619</v>
      </c>
      <c r="L26" s="20">
        <v>47438</v>
      </c>
      <c r="M26" s="20">
        <v>49439</v>
      </c>
      <c r="N26" s="20">
        <v>50136</v>
      </c>
      <c r="O26" s="20">
        <v>50690</v>
      </c>
      <c r="P26" s="20">
        <v>52151</v>
      </c>
      <c r="Q26" s="20">
        <v>49215</v>
      </c>
      <c r="R26" s="20">
        <v>48950</v>
      </c>
      <c r="S26" s="20">
        <v>50723</v>
      </c>
      <c r="T26" s="20">
        <v>52689</v>
      </c>
      <c r="U26" s="20">
        <v>51196</v>
      </c>
      <c r="V26" s="20">
        <v>51779</v>
      </c>
      <c r="W26" s="20">
        <v>51328</v>
      </c>
      <c r="X26" s="20">
        <v>47754</v>
      </c>
      <c r="Y26" s="20">
        <v>49918</v>
      </c>
      <c r="Z26" s="20">
        <v>50238</v>
      </c>
      <c r="AA26" s="20">
        <v>49620</v>
      </c>
      <c r="AB26" s="20">
        <v>52065</v>
      </c>
      <c r="AC26" s="20">
        <v>46932</v>
      </c>
      <c r="AD26" s="20">
        <v>48380</v>
      </c>
      <c r="AE26" s="20">
        <v>48531</v>
      </c>
      <c r="AF26" s="20">
        <v>50686</v>
      </c>
      <c r="AG26" s="20">
        <v>48642</v>
      </c>
      <c r="AH26" s="20">
        <v>49549</v>
      </c>
      <c r="AI26" s="20">
        <v>49033</v>
      </c>
      <c r="AJ26" s="20">
        <v>51184</v>
      </c>
      <c r="AK26" s="20">
        <v>50079</v>
      </c>
      <c r="AL26" s="20">
        <v>47825</v>
      </c>
      <c r="AM26" s="20">
        <v>49596</v>
      </c>
      <c r="AN26" s="20">
        <v>50218</v>
      </c>
      <c r="AO26" s="20">
        <v>48856</v>
      </c>
      <c r="AP26" s="20">
        <v>42942</v>
      </c>
      <c r="AQ26" s="20">
        <v>45246</v>
      </c>
      <c r="AR26" s="20">
        <v>44799</v>
      </c>
      <c r="AS26" s="20">
        <v>48397</v>
      </c>
      <c r="AT26" s="20">
        <v>45595</v>
      </c>
      <c r="AU26" s="20">
        <v>47564</v>
      </c>
      <c r="AV26" s="20">
        <v>48274</v>
      </c>
      <c r="AW26" s="20">
        <v>35191</v>
      </c>
      <c r="AX26" s="20">
        <v>36201</v>
      </c>
      <c r="AY26" s="20">
        <v>48305</v>
      </c>
      <c r="AZ26" s="20">
        <v>47154</v>
      </c>
      <c r="BA26" s="20">
        <v>48625</v>
      </c>
      <c r="BB26" s="20">
        <v>40982</v>
      </c>
      <c r="BC26" s="20">
        <v>43465</v>
      </c>
    </row>
    <row r="27" spans="1:55" x14ac:dyDescent="0.2">
      <c r="A27" s="12"/>
      <c r="B27" s="15"/>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c r="BC27" s="13"/>
    </row>
    <row r="28" spans="1:55" x14ac:dyDescent="0.2">
      <c r="A28" s="9" t="s">
        <v>198</v>
      </c>
      <c r="B28" s="12"/>
      <c r="C28" s="11">
        <v>6556</v>
      </c>
      <c r="D28" s="11">
        <v>6792</v>
      </c>
      <c r="E28" s="11">
        <v>7536</v>
      </c>
      <c r="F28" s="11">
        <v>6778</v>
      </c>
      <c r="G28" s="11">
        <v>6151</v>
      </c>
      <c r="H28" s="11">
        <v>5446</v>
      </c>
      <c r="I28" s="11">
        <v>6189</v>
      </c>
      <c r="J28" s="11">
        <v>6396</v>
      </c>
      <c r="K28" s="11">
        <v>6448</v>
      </c>
      <c r="L28" s="11">
        <v>6223</v>
      </c>
      <c r="M28" s="11">
        <v>5436</v>
      </c>
      <c r="N28" s="11">
        <v>5408</v>
      </c>
      <c r="O28" s="11">
        <v>5047</v>
      </c>
      <c r="P28" s="11">
        <v>6809</v>
      </c>
      <c r="Q28" s="11">
        <v>7112</v>
      </c>
      <c r="R28" s="11">
        <v>6935</v>
      </c>
      <c r="S28" s="11">
        <v>7381</v>
      </c>
      <c r="T28" s="11">
        <v>7683</v>
      </c>
      <c r="U28" s="11">
        <v>7128</v>
      </c>
      <c r="V28" s="11">
        <v>7592</v>
      </c>
      <c r="W28" s="11">
        <v>6666</v>
      </c>
      <c r="X28" s="11">
        <v>6087</v>
      </c>
      <c r="Y28" s="11">
        <v>7074</v>
      </c>
      <c r="Z28" s="11">
        <v>6586</v>
      </c>
      <c r="AA28" s="11">
        <v>6131</v>
      </c>
      <c r="AB28" s="11">
        <v>5860</v>
      </c>
      <c r="AC28" s="11">
        <v>5839</v>
      </c>
      <c r="AD28" s="11">
        <v>5899</v>
      </c>
      <c r="AE28" s="11">
        <v>7377</v>
      </c>
      <c r="AF28" s="11">
        <v>6724</v>
      </c>
      <c r="AG28" s="11">
        <v>5932</v>
      </c>
      <c r="AH28" s="11">
        <v>5619</v>
      </c>
      <c r="AI28" s="11">
        <v>6025</v>
      </c>
      <c r="AJ28" s="11">
        <v>6893</v>
      </c>
      <c r="AK28" s="11">
        <v>8409</v>
      </c>
      <c r="AL28" s="11">
        <v>7042</v>
      </c>
      <c r="AM28" s="11">
        <v>6030</v>
      </c>
      <c r="AN28" s="11">
        <v>6784</v>
      </c>
      <c r="AO28" s="11">
        <v>6676</v>
      </c>
      <c r="AP28" s="11">
        <v>5939</v>
      </c>
      <c r="AQ28" s="11">
        <v>7452</v>
      </c>
      <c r="AR28" s="11">
        <v>5580</v>
      </c>
      <c r="AS28" s="11">
        <v>7323</v>
      </c>
      <c r="AT28" s="11">
        <v>6777</v>
      </c>
      <c r="AU28" s="11">
        <v>6358</v>
      </c>
      <c r="AV28" s="11">
        <v>5604</v>
      </c>
      <c r="AW28" s="11">
        <v>4458</v>
      </c>
      <c r="AX28" s="11">
        <v>5119</v>
      </c>
      <c r="AY28" s="11">
        <v>5686</v>
      </c>
      <c r="AZ28" s="11">
        <v>6370</v>
      </c>
      <c r="BA28" s="11">
        <v>6800</v>
      </c>
      <c r="BB28" s="11">
        <v>5795</v>
      </c>
      <c r="BC28" s="11">
        <v>6575</v>
      </c>
    </row>
    <row r="29" spans="1:55" x14ac:dyDescent="0.2">
      <c r="A29" s="12"/>
      <c r="B29" s="12" t="s">
        <v>198</v>
      </c>
      <c r="C29" s="13">
        <v>5293</v>
      </c>
      <c r="D29" s="13">
        <v>5693</v>
      </c>
      <c r="E29" s="13">
        <v>6320</v>
      </c>
      <c r="F29" s="13">
        <v>5625</v>
      </c>
      <c r="G29" s="13">
        <v>5129</v>
      </c>
      <c r="H29" s="13">
        <v>4427</v>
      </c>
      <c r="I29" s="13">
        <v>5213</v>
      </c>
      <c r="J29" s="13">
        <v>5338</v>
      </c>
      <c r="K29" s="13">
        <v>5244</v>
      </c>
      <c r="L29" s="13">
        <v>5237</v>
      </c>
      <c r="M29" s="13">
        <v>4178</v>
      </c>
      <c r="N29" s="13">
        <v>4404</v>
      </c>
      <c r="O29" s="13">
        <v>3911</v>
      </c>
      <c r="P29" s="13">
        <v>5539</v>
      </c>
      <c r="Q29" s="13">
        <v>5781</v>
      </c>
      <c r="R29" s="13">
        <v>5759</v>
      </c>
      <c r="S29" s="13">
        <v>6116</v>
      </c>
      <c r="T29" s="13">
        <v>5982</v>
      </c>
      <c r="U29" s="13">
        <v>5867</v>
      </c>
      <c r="V29" s="13">
        <v>6205</v>
      </c>
      <c r="W29" s="13">
        <v>5543</v>
      </c>
      <c r="X29" s="13">
        <v>4905</v>
      </c>
      <c r="Y29" s="13">
        <v>5828</v>
      </c>
      <c r="Z29" s="13">
        <v>4750</v>
      </c>
      <c r="AA29" s="13">
        <v>4924</v>
      </c>
      <c r="AB29" s="13">
        <v>4838</v>
      </c>
      <c r="AC29" s="13">
        <v>5099</v>
      </c>
      <c r="AD29" s="13">
        <v>4329</v>
      </c>
      <c r="AE29" s="13">
        <v>5338</v>
      </c>
      <c r="AF29" s="13">
        <v>5671</v>
      </c>
      <c r="AG29" s="13">
        <v>5030</v>
      </c>
      <c r="AH29" s="13">
        <v>4509</v>
      </c>
      <c r="AI29" s="13">
        <v>4945</v>
      </c>
      <c r="AJ29" s="13">
        <v>5751</v>
      </c>
      <c r="AK29" s="13">
        <v>4957</v>
      </c>
      <c r="AL29" s="13">
        <v>5612</v>
      </c>
      <c r="AM29" s="13">
        <v>4581</v>
      </c>
      <c r="AN29" s="13">
        <v>5496</v>
      </c>
      <c r="AO29" s="13">
        <v>5633</v>
      </c>
      <c r="AP29" s="13">
        <v>4933</v>
      </c>
      <c r="AQ29" s="13">
        <v>6073</v>
      </c>
      <c r="AR29" s="13">
        <v>4716</v>
      </c>
      <c r="AS29" s="13">
        <v>6737</v>
      </c>
      <c r="AT29" s="13">
        <v>5313</v>
      </c>
      <c r="AU29" s="13">
        <v>5305</v>
      </c>
      <c r="AV29" s="13">
        <v>4556</v>
      </c>
      <c r="AW29" s="13">
        <v>3057</v>
      </c>
      <c r="AX29" s="13">
        <v>4051</v>
      </c>
      <c r="AY29" s="13">
        <v>4464</v>
      </c>
      <c r="AZ29" s="13">
        <v>5286</v>
      </c>
      <c r="BA29" s="13">
        <v>5407</v>
      </c>
      <c r="BB29" s="13">
        <v>5253</v>
      </c>
      <c r="BC29" s="13">
        <v>4911</v>
      </c>
    </row>
    <row r="30" spans="1:55" x14ac:dyDescent="0.2">
      <c r="A30" s="12"/>
      <c r="B30" s="15" t="s">
        <v>199</v>
      </c>
      <c r="C30" s="13">
        <v>1263</v>
      </c>
      <c r="D30" s="13">
        <v>1099</v>
      </c>
      <c r="E30" s="13">
        <v>1216</v>
      </c>
      <c r="F30" s="13">
        <v>1153</v>
      </c>
      <c r="G30" s="13">
        <v>1022</v>
      </c>
      <c r="H30" s="13">
        <v>1019</v>
      </c>
      <c r="I30" s="13">
        <v>976</v>
      </c>
      <c r="J30" s="13">
        <v>1058</v>
      </c>
      <c r="K30" s="13">
        <v>1204</v>
      </c>
      <c r="L30" s="13">
        <v>986</v>
      </c>
      <c r="M30" s="13">
        <v>1258</v>
      </c>
      <c r="N30" s="13">
        <v>1004</v>
      </c>
      <c r="O30" s="13">
        <v>1136</v>
      </c>
      <c r="P30" s="13">
        <v>1270</v>
      </c>
      <c r="Q30" s="13">
        <v>1331</v>
      </c>
      <c r="R30" s="13">
        <v>1176</v>
      </c>
      <c r="S30" s="13">
        <v>1265</v>
      </c>
      <c r="T30" s="13">
        <v>1701</v>
      </c>
      <c r="U30" s="13">
        <v>1261</v>
      </c>
      <c r="V30" s="13">
        <v>1387</v>
      </c>
      <c r="W30" s="13">
        <v>1123</v>
      </c>
      <c r="X30" s="13">
        <v>1182</v>
      </c>
      <c r="Y30" s="13">
        <v>1246</v>
      </c>
      <c r="Z30" s="13">
        <v>1836</v>
      </c>
      <c r="AA30" s="13">
        <v>1207</v>
      </c>
      <c r="AB30" s="13">
        <v>1022</v>
      </c>
      <c r="AC30" s="13">
        <v>740</v>
      </c>
      <c r="AD30" s="13">
        <v>1570</v>
      </c>
      <c r="AE30" s="13">
        <v>2039</v>
      </c>
      <c r="AF30" s="13">
        <v>1053</v>
      </c>
      <c r="AG30" s="13">
        <v>902</v>
      </c>
      <c r="AH30" s="13">
        <v>1110</v>
      </c>
      <c r="AI30" s="13">
        <v>1080</v>
      </c>
      <c r="AJ30" s="13">
        <v>1142</v>
      </c>
      <c r="AK30" s="13">
        <v>3452</v>
      </c>
      <c r="AL30" s="13">
        <v>1430</v>
      </c>
      <c r="AM30" s="13">
        <v>1449</v>
      </c>
      <c r="AN30" s="13">
        <v>1288</v>
      </c>
      <c r="AO30" s="13">
        <v>1043</v>
      </c>
      <c r="AP30" s="13">
        <v>1006</v>
      </c>
      <c r="AQ30" s="13">
        <v>1379</v>
      </c>
      <c r="AR30" s="13">
        <v>864</v>
      </c>
      <c r="AS30" s="13">
        <v>586</v>
      </c>
      <c r="AT30" s="13">
        <v>1464</v>
      </c>
      <c r="AU30" s="13">
        <v>1053</v>
      </c>
      <c r="AV30" s="13">
        <v>1048</v>
      </c>
      <c r="AW30" s="13">
        <v>1401</v>
      </c>
      <c r="AX30" s="13">
        <v>1068</v>
      </c>
      <c r="AY30" s="13">
        <v>1222</v>
      </c>
      <c r="AZ30" s="13">
        <v>1084</v>
      </c>
      <c r="BA30" s="13">
        <v>1393</v>
      </c>
      <c r="BB30" s="13">
        <v>542</v>
      </c>
      <c r="BC30" s="13">
        <v>1664</v>
      </c>
    </row>
    <row r="31" spans="1:55" x14ac:dyDescent="0.2">
      <c r="A31" s="12"/>
      <c r="B31" s="15"/>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row>
    <row r="32" spans="1:55" x14ac:dyDescent="0.2">
      <c r="A32" s="16" t="s">
        <v>200</v>
      </c>
      <c r="B32" s="12"/>
      <c r="C32" s="11">
        <v>6572</v>
      </c>
      <c r="D32" s="11">
        <v>7217</v>
      </c>
      <c r="E32" s="11">
        <v>7003</v>
      </c>
      <c r="F32" s="11">
        <v>7470</v>
      </c>
      <c r="G32" s="11">
        <v>6752</v>
      </c>
      <c r="H32" s="11">
        <v>7017</v>
      </c>
      <c r="I32" s="11">
        <v>6521</v>
      </c>
      <c r="J32" s="11">
        <v>6483</v>
      </c>
      <c r="K32" s="11">
        <v>7379</v>
      </c>
      <c r="L32" s="11">
        <v>6473</v>
      </c>
      <c r="M32" s="11">
        <v>7487</v>
      </c>
      <c r="N32" s="11">
        <v>7852</v>
      </c>
      <c r="O32" s="11">
        <v>8181</v>
      </c>
      <c r="P32" s="11">
        <v>8801</v>
      </c>
      <c r="Q32" s="11">
        <v>9262</v>
      </c>
      <c r="R32" s="11">
        <v>8452</v>
      </c>
      <c r="S32" s="11">
        <v>9076</v>
      </c>
      <c r="T32" s="11">
        <v>8800</v>
      </c>
      <c r="U32" s="11">
        <v>7777</v>
      </c>
      <c r="V32" s="11">
        <v>8201</v>
      </c>
      <c r="W32" s="11">
        <v>6211</v>
      </c>
      <c r="X32" s="11">
        <v>7744</v>
      </c>
      <c r="Y32" s="11">
        <v>8428</v>
      </c>
      <c r="Z32" s="11">
        <v>8775</v>
      </c>
      <c r="AA32" s="11">
        <v>7822</v>
      </c>
      <c r="AB32" s="11">
        <v>10262</v>
      </c>
      <c r="AC32" s="11">
        <v>6479</v>
      </c>
      <c r="AD32" s="11">
        <v>7404</v>
      </c>
      <c r="AE32" s="11">
        <v>6517</v>
      </c>
      <c r="AF32" s="11">
        <v>6607</v>
      </c>
      <c r="AG32" s="11">
        <v>5858</v>
      </c>
      <c r="AH32" s="11">
        <v>6814</v>
      </c>
      <c r="AI32" s="11">
        <v>5854</v>
      </c>
      <c r="AJ32" s="11">
        <v>6633</v>
      </c>
      <c r="AK32" s="11">
        <v>5879</v>
      </c>
      <c r="AL32" s="11">
        <v>6076</v>
      </c>
      <c r="AM32" s="11">
        <v>5666</v>
      </c>
      <c r="AN32" s="11">
        <v>6966</v>
      </c>
      <c r="AO32" s="11">
        <v>6679</v>
      </c>
      <c r="AP32" s="11">
        <v>8618</v>
      </c>
      <c r="AQ32" s="11">
        <v>6986</v>
      </c>
      <c r="AR32" s="11">
        <v>9137</v>
      </c>
      <c r="AS32" s="11">
        <v>7533</v>
      </c>
      <c r="AT32" s="11">
        <v>8585</v>
      </c>
      <c r="AU32" s="11">
        <v>8303</v>
      </c>
      <c r="AV32" s="11">
        <v>8416</v>
      </c>
      <c r="AW32" s="11">
        <v>6651</v>
      </c>
      <c r="AX32" s="11">
        <v>5553</v>
      </c>
      <c r="AY32" s="11">
        <v>8214</v>
      </c>
      <c r="AZ32" s="11">
        <v>9038</v>
      </c>
      <c r="BA32" s="11">
        <v>8073</v>
      </c>
      <c r="BB32" s="11">
        <v>6470</v>
      </c>
      <c r="BC32" s="11">
        <v>7331</v>
      </c>
    </row>
    <row r="33" spans="1:55" x14ac:dyDescent="0.2">
      <c r="A33" s="12"/>
      <c r="B33" s="15" t="s">
        <v>201</v>
      </c>
      <c r="C33" s="13">
        <v>1737</v>
      </c>
      <c r="D33" s="13">
        <v>1769</v>
      </c>
      <c r="E33" s="13">
        <v>1986</v>
      </c>
      <c r="F33" s="13">
        <v>2248</v>
      </c>
      <c r="G33" s="13">
        <v>1516</v>
      </c>
      <c r="H33" s="13">
        <v>1599</v>
      </c>
      <c r="I33" s="13">
        <v>954</v>
      </c>
      <c r="J33" s="13">
        <v>900</v>
      </c>
      <c r="K33" s="13">
        <v>1127</v>
      </c>
      <c r="L33" s="13">
        <v>1408</v>
      </c>
      <c r="M33" s="13">
        <v>1831</v>
      </c>
      <c r="N33" s="13">
        <v>1804</v>
      </c>
      <c r="O33" s="13">
        <v>1486</v>
      </c>
      <c r="P33" s="13">
        <v>1889</v>
      </c>
      <c r="Q33" s="13">
        <v>1664</v>
      </c>
      <c r="R33" s="13">
        <v>1452</v>
      </c>
      <c r="S33" s="13">
        <v>2364</v>
      </c>
      <c r="T33" s="13">
        <v>2214</v>
      </c>
      <c r="U33" s="13">
        <v>1597</v>
      </c>
      <c r="V33" s="13">
        <v>1163</v>
      </c>
      <c r="W33" s="13">
        <v>1297</v>
      </c>
      <c r="X33" s="13">
        <v>1852</v>
      </c>
      <c r="Y33" s="13">
        <v>1817</v>
      </c>
      <c r="Z33" s="13">
        <v>1756</v>
      </c>
      <c r="AA33" s="13">
        <v>2259</v>
      </c>
      <c r="AB33" s="13">
        <v>3254</v>
      </c>
      <c r="AC33" s="13">
        <v>1423</v>
      </c>
      <c r="AD33" s="13">
        <v>1002</v>
      </c>
      <c r="AE33" s="13">
        <v>1548</v>
      </c>
      <c r="AF33" s="13">
        <v>1039</v>
      </c>
      <c r="AG33" s="13">
        <v>1621</v>
      </c>
      <c r="AH33" s="13">
        <v>1869</v>
      </c>
      <c r="AI33" s="13">
        <v>1610</v>
      </c>
      <c r="AJ33" s="13">
        <v>1443</v>
      </c>
      <c r="AK33" s="13">
        <v>1660</v>
      </c>
      <c r="AL33" s="13">
        <v>1893</v>
      </c>
      <c r="AM33" s="13">
        <v>1880</v>
      </c>
      <c r="AN33" s="13">
        <v>2204</v>
      </c>
      <c r="AO33" s="13">
        <v>1940</v>
      </c>
      <c r="AP33" s="13">
        <v>2077</v>
      </c>
      <c r="AQ33" s="13">
        <v>1976</v>
      </c>
      <c r="AR33" s="13">
        <v>2546</v>
      </c>
      <c r="AS33" s="13">
        <v>1949</v>
      </c>
      <c r="AT33" s="13">
        <v>2271</v>
      </c>
      <c r="AU33" s="13">
        <v>2434</v>
      </c>
      <c r="AV33" s="13">
        <v>2734</v>
      </c>
      <c r="AW33" s="13">
        <v>1061</v>
      </c>
      <c r="AX33" s="13">
        <v>1247</v>
      </c>
      <c r="AY33" s="13">
        <v>1369</v>
      </c>
      <c r="AZ33" s="13">
        <v>1765</v>
      </c>
      <c r="BA33" s="13">
        <v>2592</v>
      </c>
      <c r="BB33" s="13">
        <v>2010</v>
      </c>
      <c r="BC33" s="13">
        <v>1861</v>
      </c>
    </row>
    <row r="34" spans="1:55" x14ac:dyDescent="0.2">
      <c r="A34" s="12"/>
      <c r="B34" s="15" t="s">
        <v>200</v>
      </c>
      <c r="C34" s="13">
        <v>3546</v>
      </c>
      <c r="D34" s="13">
        <v>4366</v>
      </c>
      <c r="E34" s="13">
        <v>4005</v>
      </c>
      <c r="F34" s="13">
        <v>3982</v>
      </c>
      <c r="G34" s="13">
        <v>4326</v>
      </c>
      <c r="H34" s="13">
        <v>4173</v>
      </c>
      <c r="I34" s="13">
        <v>4457</v>
      </c>
      <c r="J34" s="13">
        <v>4378</v>
      </c>
      <c r="K34" s="13">
        <v>4804</v>
      </c>
      <c r="L34" s="13">
        <v>3786</v>
      </c>
      <c r="M34" s="13">
        <v>4489</v>
      </c>
      <c r="N34" s="13">
        <v>4728</v>
      </c>
      <c r="O34" s="13">
        <v>5290</v>
      </c>
      <c r="P34" s="13">
        <v>5871</v>
      </c>
      <c r="Q34" s="13">
        <v>6550</v>
      </c>
      <c r="R34" s="13">
        <v>5871</v>
      </c>
      <c r="S34" s="13">
        <v>5436</v>
      </c>
      <c r="T34" s="13">
        <v>5163</v>
      </c>
      <c r="U34" s="13">
        <v>4942</v>
      </c>
      <c r="V34" s="13">
        <v>5408</v>
      </c>
      <c r="W34" s="13">
        <v>3576</v>
      </c>
      <c r="X34" s="13">
        <v>4555</v>
      </c>
      <c r="Y34" s="13">
        <v>4998</v>
      </c>
      <c r="Z34" s="13">
        <v>5306</v>
      </c>
      <c r="AA34" s="13">
        <v>4123</v>
      </c>
      <c r="AB34" s="13">
        <v>5423</v>
      </c>
      <c r="AC34" s="13">
        <v>4061</v>
      </c>
      <c r="AD34" s="13">
        <v>5036</v>
      </c>
      <c r="AE34" s="13">
        <v>3584</v>
      </c>
      <c r="AF34" s="13">
        <v>4565</v>
      </c>
      <c r="AG34" s="13">
        <v>3008</v>
      </c>
      <c r="AH34" s="13">
        <v>3832</v>
      </c>
      <c r="AI34" s="13">
        <v>3000</v>
      </c>
      <c r="AJ34" s="13">
        <v>4000</v>
      </c>
      <c r="AK34" s="13">
        <v>3236</v>
      </c>
      <c r="AL34" s="13">
        <v>2937</v>
      </c>
      <c r="AM34" s="13">
        <v>2734</v>
      </c>
      <c r="AN34" s="13">
        <v>3642</v>
      </c>
      <c r="AO34" s="13">
        <v>3754</v>
      </c>
      <c r="AP34" s="13">
        <v>5193</v>
      </c>
      <c r="AQ34" s="13">
        <v>3818</v>
      </c>
      <c r="AR34" s="13">
        <v>5327</v>
      </c>
      <c r="AS34" s="13">
        <v>4517</v>
      </c>
      <c r="AT34" s="13">
        <v>4972</v>
      </c>
      <c r="AU34" s="13">
        <v>4774</v>
      </c>
      <c r="AV34" s="13">
        <v>4589</v>
      </c>
      <c r="AW34" s="13">
        <v>4437</v>
      </c>
      <c r="AX34" s="13">
        <v>3167</v>
      </c>
      <c r="AY34" s="13">
        <v>5716</v>
      </c>
      <c r="AZ34" s="13">
        <v>6048</v>
      </c>
      <c r="BA34" s="13">
        <v>4367</v>
      </c>
      <c r="BB34" s="13">
        <v>2981</v>
      </c>
      <c r="BC34" s="13">
        <v>4010</v>
      </c>
    </row>
    <row r="35" spans="1:55" x14ac:dyDescent="0.2">
      <c r="A35" s="12"/>
      <c r="B35" s="15" t="s">
        <v>202</v>
      </c>
      <c r="C35" s="13">
        <v>1289</v>
      </c>
      <c r="D35" s="13">
        <v>1082</v>
      </c>
      <c r="E35" s="13">
        <v>1012</v>
      </c>
      <c r="F35" s="13">
        <v>1240</v>
      </c>
      <c r="G35" s="13">
        <v>910</v>
      </c>
      <c r="H35" s="13">
        <v>1245</v>
      </c>
      <c r="I35" s="13">
        <v>1110</v>
      </c>
      <c r="J35" s="13">
        <v>1205</v>
      </c>
      <c r="K35" s="13">
        <v>1448</v>
      </c>
      <c r="L35" s="13">
        <v>1279</v>
      </c>
      <c r="M35" s="13">
        <v>1167</v>
      </c>
      <c r="N35" s="13">
        <v>1320</v>
      </c>
      <c r="O35" s="13">
        <v>1405</v>
      </c>
      <c r="P35" s="13">
        <v>1041</v>
      </c>
      <c r="Q35" s="13">
        <v>1048</v>
      </c>
      <c r="R35" s="13">
        <v>1129</v>
      </c>
      <c r="S35" s="13">
        <v>1276</v>
      </c>
      <c r="T35" s="13">
        <v>1423</v>
      </c>
      <c r="U35" s="13">
        <v>1238</v>
      </c>
      <c r="V35" s="13">
        <v>1630</v>
      </c>
      <c r="W35" s="13">
        <v>1338</v>
      </c>
      <c r="X35" s="13">
        <v>1337</v>
      </c>
      <c r="Y35" s="13">
        <v>1613</v>
      </c>
      <c r="Z35" s="13">
        <v>1713</v>
      </c>
      <c r="AA35" s="13">
        <v>1440</v>
      </c>
      <c r="AB35" s="13">
        <v>1585</v>
      </c>
      <c r="AC35" s="13">
        <v>995</v>
      </c>
      <c r="AD35" s="13">
        <v>1366</v>
      </c>
      <c r="AE35" s="13">
        <v>1385</v>
      </c>
      <c r="AF35" s="13">
        <v>1003</v>
      </c>
      <c r="AG35" s="13">
        <v>1229</v>
      </c>
      <c r="AH35" s="13">
        <v>1113</v>
      </c>
      <c r="AI35" s="13">
        <v>1244</v>
      </c>
      <c r="AJ35" s="13">
        <v>1190</v>
      </c>
      <c r="AK35" s="13">
        <v>983</v>
      </c>
      <c r="AL35" s="13">
        <v>1246</v>
      </c>
      <c r="AM35" s="13">
        <v>1052</v>
      </c>
      <c r="AN35" s="13">
        <v>1120</v>
      </c>
      <c r="AO35" s="13">
        <v>985</v>
      </c>
      <c r="AP35" s="13">
        <v>1348</v>
      </c>
      <c r="AQ35" s="13">
        <v>1192</v>
      </c>
      <c r="AR35" s="13">
        <v>1264</v>
      </c>
      <c r="AS35" s="13">
        <v>1067</v>
      </c>
      <c r="AT35" s="13">
        <v>1342</v>
      </c>
      <c r="AU35" s="13">
        <v>1095</v>
      </c>
      <c r="AV35" s="13">
        <v>1093</v>
      </c>
      <c r="AW35" s="13">
        <v>1153</v>
      </c>
      <c r="AX35" s="13">
        <v>1139</v>
      </c>
      <c r="AY35" s="13">
        <v>1129</v>
      </c>
      <c r="AZ35" s="13">
        <v>1225</v>
      </c>
      <c r="BA35" s="13">
        <v>1114</v>
      </c>
      <c r="BB35" s="13">
        <v>1479</v>
      </c>
      <c r="BC35" s="13">
        <v>1460</v>
      </c>
    </row>
    <row r="36" spans="1:55" x14ac:dyDescent="0.2">
      <c r="A36" s="12"/>
      <c r="B36" s="15"/>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c r="BC36" s="13"/>
    </row>
    <row r="37" spans="1:55" x14ac:dyDescent="0.2">
      <c r="A37" s="9" t="s">
        <v>203</v>
      </c>
      <c r="B37" s="42"/>
      <c r="C37" s="5">
        <v>1397</v>
      </c>
      <c r="D37" s="5">
        <v>1356</v>
      </c>
      <c r="E37" s="5">
        <v>1528</v>
      </c>
      <c r="F37" s="5">
        <v>1336</v>
      </c>
      <c r="G37" s="5">
        <v>1141</v>
      </c>
      <c r="H37" s="5">
        <v>1459</v>
      </c>
      <c r="I37" s="5">
        <v>1168</v>
      </c>
      <c r="J37" s="5">
        <v>1433</v>
      </c>
      <c r="K37" s="5">
        <v>1192</v>
      </c>
      <c r="L37" s="5">
        <v>1132</v>
      </c>
      <c r="M37" s="5">
        <v>1521</v>
      </c>
      <c r="N37" s="5">
        <v>1406</v>
      </c>
      <c r="O37" s="5">
        <v>1515</v>
      </c>
      <c r="P37" s="5">
        <v>1626</v>
      </c>
      <c r="Q37" s="5">
        <v>1365</v>
      </c>
      <c r="R37" s="5">
        <v>1358</v>
      </c>
      <c r="S37" s="5">
        <v>1415</v>
      </c>
      <c r="T37" s="5">
        <v>1524</v>
      </c>
      <c r="U37" s="5">
        <v>1285</v>
      </c>
      <c r="V37" s="5">
        <v>1304</v>
      </c>
      <c r="W37" s="5">
        <v>1190</v>
      </c>
      <c r="X37" s="5">
        <v>1302</v>
      </c>
      <c r="Y37" s="5">
        <v>1168</v>
      </c>
      <c r="Z37" s="5">
        <v>1171</v>
      </c>
      <c r="AA37" s="5">
        <v>1228</v>
      </c>
      <c r="AB37" s="5">
        <v>1547</v>
      </c>
      <c r="AC37" s="5">
        <v>1503</v>
      </c>
      <c r="AD37" s="5">
        <v>1401</v>
      </c>
      <c r="AE37" s="5">
        <v>1344</v>
      </c>
      <c r="AF37" s="5">
        <v>1336</v>
      </c>
      <c r="AG37" s="5">
        <v>1491</v>
      </c>
      <c r="AH37" s="5">
        <v>1614</v>
      </c>
      <c r="AI37" s="5">
        <v>1649</v>
      </c>
      <c r="AJ37" s="5">
        <v>1420</v>
      </c>
      <c r="AK37" s="5">
        <v>1446</v>
      </c>
      <c r="AL37" s="5">
        <v>1685</v>
      </c>
      <c r="AM37" s="5">
        <v>1668</v>
      </c>
      <c r="AN37" s="5">
        <v>1328</v>
      </c>
      <c r="AO37" s="5">
        <v>1543</v>
      </c>
      <c r="AP37" s="5">
        <v>1549</v>
      </c>
      <c r="AQ37" s="5">
        <v>1695</v>
      </c>
      <c r="AR37" s="5">
        <v>1472</v>
      </c>
      <c r="AS37" s="5">
        <v>1830</v>
      </c>
      <c r="AT37" s="5">
        <v>1379</v>
      </c>
      <c r="AU37" s="5">
        <v>1744</v>
      </c>
      <c r="AV37" s="5">
        <v>1450</v>
      </c>
      <c r="AW37" s="5">
        <v>835</v>
      </c>
      <c r="AX37" s="5">
        <v>1078</v>
      </c>
      <c r="AY37" s="5">
        <v>1590</v>
      </c>
      <c r="AZ37" s="5">
        <v>1518</v>
      </c>
      <c r="BA37" s="5">
        <v>1524</v>
      </c>
      <c r="BB37" s="5">
        <v>1388</v>
      </c>
      <c r="BC37" s="5">
        <v>1510</v>
      </c>
    </row>
    <row r="38" spans="1:55" x14ac:dyDescent="0.2">
      <c r="A38" s="4"/>
      <c r="B38" s="4"/>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c r="BC38" s="13"/>
    </row>
    <row r="39" spans="1:55" x14ac:dyDescent="0.2">
      <c r="A39" s="18" t="s">
        <v>204</v>
      </c>
      <c r="B39" s="19"/>
      <c r="C39" s="20">
        <v>14525</v>
      </c>
      <c r="D39" s="20">
        <v>15365</v>
      </c>
      <c r="E39" s="20">
        <v>16067</v>
      </c>
      <c r="F39" s="20">
        <v>15584</v>
      </c>
      <c r="G39" s="20">
        <v>14044</v>
      </c>
      <c r="H39" s="20">
        <v>13922</v>
      </c>
      <c r="I39" s="20">
        <v>13878</v>
      </c>
      <c r="J39" s="20">
        <v>14312</v>
      </c>
      <c r="K39" s="20">
        <v>15019</v>
      </c>
      <c r="L39" s="20">
        <v>13828</v>
      </c>
      <c r="M39" s="20">
        <v>14444</v>
      </c>
      <c r="N39" s="20">
        <v>14666</v>
      </c>
      <c r="O39" s="20">
        <v>14743</v>
      </c>
      <c r="P39" s="20">
        <v>17236</v>
      </c>
      <c r="Q39" s="20">
        <v>17739</v>
      </c>
      <c r="R39" s="20">
        <v>16745</v>
      </c>
      <c r="S39" s="20">
        <v>17872</v>
      </c>
      <c r="T39" s="20">
        <v>18007</v>
      </c>
      <c r="U39" s="20">
        <v>16190</v>
      </c>
      <c r="V39" s="20">
        <v>17097</v>
      </c>
      <c r="W39" s="20">
        <v>14067</v>
      </c>
      <c r="X39" s="20">
        <v>15133</v>
      </c>
      <c r="Y39" s="20">
        <v>16670</v>
      </c>
      <c r="Z39" s="20">
        <v>16532</v>
      </c>
      <c r="AA39" s="20">
        <v>15181</v>
      </c>
      <c r="AB39" s="20">
        <v>17669</v>
      </c>
      <c r="AC39" s="20">
        <v>13821</v>
      </c>
      <c r="AD39" s="20">
        <v>14704</v>
      </c>
      <c r="AE39" s="20">
        <v>15238</v>
      </c>
      <c r="AF39" s="20">
        <v>14667</v>
      </c>
      <c r="AG39" s="20">
        <v>13281</v>
      </c>
      <c r="AH39" s="20">
        <v>14047</v>
      </c>
      <c r="AI39" s="20">
        <v>13528</v>
      </c>
      <c r="AJ39" s="20">
        <v>14946</v>
      </c>
      <c r="AK39" s="20">
        <v>15734</v>
      </c>
      <c r="AL39" s="20">
        <v>14803</v>
      </c>
      <c r="AM39" s="20">
        <v>13364</v>
      </c>
      <c r="AN39" s="20">
        <v>15078</v>
      </c>
      <c r="AO39" s="20">
        <v>14898</v>
      </c>
      <c r="AP39" s="20">
        <v>16106</v>
      </c>
      <c r="AQ39" s="20">
        <v>16133</v>
      </c>
      <c r="AR39" s="20">
        <v>16189</v>
      </c>
      <c r="AS39" s="20">
        <v>16686</v>
      </c>
      <c r="AT39" s="20">
        <v>16741</v>
      </c>
      <c r="AU39" s="20">
        <v>16405</v>
      </c>
      <c r="AV39" s="20">
        <v>15470</v>
      </c>
      <c r="AW39" s="20">
        <v>11944</v>
      </c>
      <c r="AX39" s="20">
        <v>11750</v>
      </c>
      <c r="AY39" s="20">
        <v>15490</v>
      </c>
      <c r="AZ39" s="20">
        <v>16926</v>
      </c>
      <c r="BA39" s="20">
        <v>16397</v>
      </c>
      <c r="BB39" s="20">
        <v>13653</v>
      </c>
      <c r="BC39" s="20">
        <v>15416</v>
      </c>
    </row>
    <row r="40" spans="1:55" x14ac:dyDescent="0.2">
      <c r="A40" s="12"/>
      <c r="B40" s="15"/>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c r="BC40" s="13"/>
    </row>
    <row r="41" spans="1:55" x14ac:dyDescent="0.2">
      <c r="A41" s="12"/>
      <c r="B41" s="15" t="s">
        <v>205</v>
      </c>
      <c r="C41" s="13">
        <v>40649</v>
      </c>
      <c r="D41" s="13">
        <v>53057</v>
      </c>
      <c r="E41" s="13">
        <v>52140</v>
      </c>
      <c r="F41" s="13">
        <v>48295</v>
      </c>
      <c r="G41" s="13">
        <v>44324</v>
      </c>
      <c r="H41" s="13">
        <v>45482</v>
      </c>
      <c r="I41" s="13">
        <v>45581</v>
      </c>
      <c r="J41" s="13">
        <v>49164</v>
      </c>
      <c r="K41" s="13">
        <v>48759</v>
      </c>
      <c r="L41" s="13">
        <v>48988</v>
      </c>
      <c r="M41" s="13">
        <v>50077</v>
      </c>
      <c r="N41" s="13">
        <v>50742</v>
      </c>
      <c r="O41" s="13">
        <v>52415</v>
      </c>
      <c r="P41" s="13">
        <v>52269</v>
      </c>
      <c r="Q41" s="13">
        <v>54171</v>
      </c>
      <c r="R41" s="13">
        <v>50491</v>
      </c>
      <c r="S41" s="13">
        <v>52582</v>
      </c>
      <c r="T41" s="13">
        <v>52707</v>
      </c>
      <c r="U41" s="13">
        <v>50363</v>
      </c>
      <c r="V41" s="13">
        <v>49562</v>
      </c>
      <c r="W41" s="13">
        <v>47450</v>
      </c>
      <c r="X41" s="13">
        <v>48281</v>
      </c>
      <c r="Y41" s="13">
        <v>51440</v>
      </c>
      <c r="Z41" s="13">
        <v>50799</v>
      </c>
      <c r="AA41" s="13">
        <v>50136</v>
      </c>
      <c r="AB41" s="13">
        <v>52422</v>
      </c>
      <c r="AC41" s="13">
        <v>48135</v>
      </c>
      <c r="AD41" s="13">
        <v>52036</v>
      </c>
      <c r="AE41" s="13">
        <v>51641</v>
      </c>
      <c r="AF41" s="13">
        <v>50592</v>
      </c>
      <c r="AG41" s="13">
        <v>55083</v>
      </c>
      <c r="AH41" s="13">
        <v>51191</v>
      </c>
      <c r="AI41" s="13">
        <v>56600</v>
      </c>
      <c r="AJ41" s="13">
        <v>53297</v>
      </c>
      <c r="AK41" s="13">
        <v>54048</v>
      </c>
      <c r="AL41" s="13">
        <v>48926</v>
      </c>
      <c r="AM41" s="13">
        <v>55018</v>
      </c>
      <c r="AN41" s="13">
        <v>53943</v>
      </c>
      <c r="AO41" s="13">
        <v>54273</v>
      </c>
      <c r="AP41" s="13">
        <v>53994</v>
      </c>
      <c r="AQ41" s="13">
        <v>53609</v>
      </c>
      <c r="AR41" s="13">
        <v>49258</v>
      </c>
      <c r="AS41" s="13">
        <v>51254</v>
      </c>
      <c r="AT41" s="13">
        <v>48345</v>
      </c>
      <c r="AU41" s="13">
        <v>49078</v>
      </c>
      <c r="AV41" s="13">
        <v>47946</v>
      </c>
      <c r="AW41" s="13">
        <v>45985</v>
      </c>
      <c r="AX41" s="13">
        <v>47379</v>
      </c>
      <c r="AY41" s="13">
        <v>47465</v>
      </c>
      <c r="AZ41" s="13">
        <v>50597</v>
      </c>
      <c r="BA41" s="13">
        <v>48659</v>
      </c>
      <c r="BB41" s="13">
        <v>38154</v>
      </c>
      <c r="BC41" s="13">
        <v>41732</v>
      </c>
    </row>
    <row r="42" spans="1:55" x14ac:dyDescent="0.2">
      <c r="A42" s="12"/>
      <c r="B42" s="15" t="s">
        <v>206</v>
      </c>
      <c r="C42" s="13">
        <v>0</v>
      </c>
      <c r="D42" s="13">
        <v>0</v>
      </c>
      <c r="E42" s="13">
        <v>0</v>
      </c>
      <c r="F42" s="13">
        <v>0</v>
      </c>
      <c r="G42" s="13">
        <v>0</v>
      </c>
      <c r="H42" s="13">
        <v>0</v>
      </c>
      <c r="I42" s="13">
        <v>0</v>
      </c>
      <c r="J42" s="13">
        <v>0</v>
      </c>
      <c r="K42" s="13">
        <v>0</v>
      </c>
      <c r="L42" s="13">
        <v>0</v>
      </c>
      <c r="M42" s="13">
        <v>0</v>
      </c>
      <c r="N42" s="13">
        <v>0</v>
      </c>
      <c r="O42" s="13">
        <v>0</v>
      </c>
      <c r="P42" s="13">
        <v>0</v>
      </c>
      <c r="Q42" s="13">
        <v>0</v>
      </c>
      <c r="R42" s="13">
        <v>0</v>
      </c>
      <c r="S42" s="13">
        <v>0</v>
      </c>
      <c r="T42" s="13">
        <v>0</v>
      </c>
      <c r="U42" s="13">
        <v>0</v>
      </c>
      <c r="V42" s="13">
        <v>0</v>
      </c>
      <c r="W42" s="13">
        <v>0</v>
      </c>
      <c r="X42" s="13">
        <v>0</v>
      </c>
      <c r="Y42" s="13">
        <v>0</v>
      </c>
      <c r="Z42" s="13">
        <v>0</v>
      </c>
      <c r="AA42" s="13">
        <v>0</v>
      </c>
      <c r="AB42" s="13">
        <v>0</v>
      </c>
      <c r="AC42" s="13">
        <v>0</v>
      </c>
      <c r="AD42" s="13">
        <v>0</v>
      </c>
      <c r="AE42" s="13">
        <v>0</v>
      </c>
      <c r="AF42" s="13">
        <v>0</v>
      </c>
      <c r="AG42" s="13">
        <v>0</v>
      </c>
      <c r="AH42" s="13">
        <v>0</v>
      </c>
      <c r="AI42" s="13">
        <v>0</v>
      </c>
      <c r="AJ42" s="13">
        <v>0</v>
      </c>
      <c r="AK42" s="13">
        <v>0</v>
      </c>
      <c r="AL42" s="13">
        <v>0</v>
      </c>
      <c r="AM42" s="13">
        <v>0</v>
      </c>
      <c r="AN42" s="13">
        <v>0</v>
      </c>
      <c r="AO42" s="13">
        <v>0</v>
      </c>
      <c r="AP42" s="13">
        <v>0</v>
      </c>
      <c r="AQ42" s="13">
        <v>0</v>
      </c>
      <c r="AR42" s="13">
        <v>0</v>
      </c>
      <c r="AS42" s="13">
        <v>0</v>
      </c>
      <c r="AT42" s="13">
        <v>0</v>
      </c>
      <c r="AU42" s="13">
        <v>0</v>
      </c>
      <c r="AV42" s="13">
        <v>0</v>
      </c>
      <c r="AW42" s="13">
        <v>0</v>
      </c>
      <c r="AX42" s="13">
        <v>0</v>
      </c>
      <c r="AY42" s="13">
        <v>0</v>
      </c>
      <c r="AZ42" s="13">
        <v>0</v>
      </c>
      <c r="BA42" s="13">
        <v>0</v>
      </c>
      <c r="BB42" s="13">
        <v>0</v>
      </c>
      <c r="BC42" s="13">
        <v>0</v>
      </c>
    </row>
    <row r="43" spans="1:55" x14ac:dyDescent="0.2">
      <c r="A43" s="12"/>
      <c r="B43" s="15"/>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c r="BC43" s="13"/>
    </row>
    <row r="44" spans="1:55" x14ac:dyDescent="0.2">
      <c r="A44" s="18" t="s">
        <v>207</v>
      </c>
      <c r="B44" s="18"/>
      <c r="C44" s="20">
        <v>40649</v>
      </c>
      <c r="D44" s="20">
        <v>53057</v>
      </c>
      <c r="E44" s="20">
        <v>52140</v>
      </c>
      <c r="F44" s="20">
        <v>48295</v>
      </c>
      <c r="G44" s="20">
        <v>44324</v>
      </c>
      <c r="H44" s="20">
        <v>45482</v>
      </c>
      <c r="I44" s="20">
        <v>45581</v>
      </c>
      <c r="J44" s="20">
        <v>49164</v>
      </c>
      <c r="K44" s="20">
        <v>48759</v>
      </c>
      <c r="L44" s="20">
        <v>48988</v>
      </c>
      <c r="M44" s="20">
        <v>50077</v>
      </c>
      <c r="N44" s="20">
        <v>50742</v>
      </c>
      <c r="O44" s="20">
        <v>52415</v>
      </c>
      <c r="P44" s="20">
        <v>52269</v>
      </c>
      <c r="Q44" s="20">
        <v>54171</v>
      </c>
      <c r="R44" s="20">
        <v>50491</v>
      </c>
      <c r="S44" s="20">
        <v>52582</v>
      </c>
      <c r="T44" s="20">
        <v>52707</v>
      </c>
      <c r="U44" s="20">
        <v>50363</v>
      </c>
      <c r="V44" s="20">
        <v>49562</v>
      </c>
      <c r="W44" s="20">
        <v>47450</v>
      </c>
      <c r="X44" s="20">
        <v>48281</v>
      </c>
      <c r="Y44" s="20">
        <v>51440</v>
      </c>
      <c r="Z44" s="20">
        <v>50799</v>
      </c>
      <c r="AA44" s="20">
        <v>50136</v>
      </c>
      <c r="AB44" s="20">
        <v>52422</v>
      </c>
      <c r="AC44" s="20">
        <v>48135</v>
      </c>
      <c r="AD44" s="20">
        <v>52036</v>
      </c>
      <c r="AE44" s="20">
        <v>51641</v>
      </c>
      <c r="AF44" s="20">
        <v>50592</v>
      </c>
      <c r="AG44" s="20">
        <v>55083</v>
      </c>
      <c r="AH44" s="20">
        <v>51191</v>
      </c>
      <c r="AI44" s="20">
        <v>56600</v>
      </c>
      <c r="AJ44" s="20">
        <v>53297</v>
      </c>
      <c r="AK44" s="20">
        <v>54048</v>
      </c>
      <c r="AL44" s="20">
        <v>48926</v>
      </c>
      <c r="AM44" s="20">
        <v>55018</v>
      </c>
      <c r="AN44" s="20">
        <v>53943</v>
      </c>
      <c r="AO44" s="20">
        <v>54273</v>
      </c>
      <c r="AP44" s="20">
        <v>53994</v>
      </c>
      <c r="AQ44" s="20">
        <v>53609</v>
      </c>
      <c r="AR44" s="20">
        <v>49258</v>
      </c>
      <c r="AS44" s="20">
        <v>51254</v>
      </c>
      <c r="AT44" s="20">
        <v>48345</v>
      </c>
      <c r="AU44" s="20">
        <v>49078</v>
      </c>
      <c r="AV44" s="20">
        <v>47946</v>
      </c>
      <c r="AW44" s="20">
        <v>45985</v>
      </c>
      <c r="AX44" s="20">
        <v>47379</v>
      </c>
      <c r="AY44" s="20">
        <v>47465</v>
      </c>
      <c r="AZ44" s="20">
        <v>50597</v>
      </c>
      <c r="BA44" s="20">
        <v>48659</v>
      </c>
      <c r="BB44" s="20">
        <v>38154</v>
      </c>
      <c r="BC44" s="20">
        <v>41732</v>
      </c>
    </row>
    <row r="45" spans="1:55" x14ac:dyDescent="0.2">
      <c r="A45" s="12"/>
      <c r="B45" s="14"/>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c r="BC45" s="13"/>
    </row>
    <row r="46" spans="1:55" ht="13.5" thickBot="1" x14ac:dyDescent="0.25">
      <c r="A46" s="21" t="s">
        <v>208</v>
      </c>
      <c r="B46" s="22"/>
      <c r="C46" s="23">
        <v>101025</v>
      </c>
      <c r="D46" s="23">
        <v>119691</v>
      </c>
      <c r="E46" s="23">
        <v>118750</v>
      </c>
      <c r="F46" s="23">
        <v>110344</v>
      </c>
      <c r="G46" s="23">
        <v>101307</v>
      </c>
      <c r="H46" s="23">
        <v>103224</v>
      </c>
      <c r="I46" s="23">
        <v>105798</v>
      </c>
      <c r="J46" s="23">
        <v>109720</v>
      </c>
      <c r="K46" s="23">
        <v>109397</v>
      </c>
      <c r="L46" s="23">
        <v>110254</v>
      </c>
      <c r="M46" s="23">
        <v>113960</v>
      </c>
      <c r="N46" s="23">
        <v>115544</v>
      </c>
      <c r="O46" s="23">
        <v>117848</v>
      </c>
      <c r="P46" s="23">
        <v>121656</v>
      </c>
      <c r="Q46" s="23">
        <v>121125</v>
      </c>
      <c r="R46" s="23">
        <v>116186</v>
      </c>
      <c r="S46" s="23">
        <v>121177</v>
      </c>
      <c r="T46" s="23">
        <v>123403</v>
      </c>
      <c r="U46" s="23">
        <v>117749</v>
      </c>
      <c r="V46" s="23">
        <v>118438</v>
      </c>
      <c r="W46" s="23">
        <v>112845</v>
      </c>
      <c r="X46" s="23">
        <v>111168</v>
      </c>
      <c r="Y46" s="23">
        <v>118028</v>
      </c>
      <c r="Z46" s="23">
        <v>117569</v>
      </c>
      <c r="AA46" s="23">
        <v>114937</v>
      </c>
      <c r="AB46" s="23">
        <v>122156</v>
      </c>
      <c r="AC46" s="23">
        <v>108888</v>
      </c>
      <c r="AD46" s="23">
        <v>115120</v>
      </c>
      <c r="AE46" s="23">
        <v>115410</v>
      </c>
      <c r="AF46" s="23">
        <v>115945</v>
      </c>
      <c r="AG46" s="23">
        <v>117006</v>
      </c>
      <c r="AH46" s="23">
        <v>114787</v>
      </c>
      <c r="AI46" s="23">
        <v>119161</v>
      </c>
      <c r="AJ46" s="23">
        <v>119427</v>
      </c>
      <c r="AK46" s="23">
        <v>119861</v>
      </c>
      <c r="AL46" s="23">
        <v>111554</v>
      </c>
      <c r="AM46" s="23">
        <v>117978</v>
      </c>
      <c r="AN46" s="23">
        <v>119239</v>
      </c>
      <c r="AO46" s="23">
        <v>118027</v>
      </c>
      <c r="AP46" s="23">
        <v>113042</v>
      </c>
      <c r="AQ46" s="23">
        <v>114988</v>
      </c>
      <c r="AR46" s="23">
        <v>110246</v>
      </c>
      <c r="AS46" s="23">
        <v>116337</v>
      </c>
      <c r="AT46" s="23">
        <v>110681</v>
      </c>
      <c r="AU46" s="23">
        <v>113047</v>
      </c>
      <c r="AV46" s="23">
        <v>111690</v>
      </c>
      <c r="AW46" s="23">
        <v>93120</v>
      </c>
      <c r="AX46" s="23">
        <v>95330</v>
      </c>
      <c r="AY46" s="23">
        <v>111260</v>
      </c>
      <c r="AZ46" s="23">
        <v>114677</v>
      </c>
      <c r="BA46" s="23">
        <v>113681</v>
      </c>
      <c r="BB46" s="23">
        <v>92789</v>
      </c>
      <c r="BC46" s="23">
        <v>100613</v>
      </c>
    </row>
    <row r="47" spans="1:55" ht="13.5" thickTop="1" x14ac:dyDescent="0.2">
      <c r="A47" s="42"/>
      <c r="B47" s="42"/>
      <c r="C47" s="43"/>
      <c r="D47" s="42"/>
      <c r="E47" s="42"/>
      <c r="F47" s="42"/>
      <c r="G47" s="42"/>
      <c r="H47" s="42"/>
      <c r="I47" s="42"/>
      <c r="J47" s="42"/>
      <c r="K47" s="42"/>
      <c r="L47" s="42"/>
      <c r="M47" s="42"/>
      <c r="N47" s="42"/>
      <c r="O47" s="42"/>
      <c r="P47" s="42"/>
      <c r="Q47" s="42"/>
      <c r="R47" s="42"/>
      <c r="S47" s="42"/>
      <c r="T47" s="42"/>
      <c r="U47" s="42"/>
      <c r="V47" s="42"/>
      <c r="W47" s="42"/>
      <c r="X47" s="42"/>
      <c r="Y47" s="42"/>
      <c r="Z47" s="42"/>
      <c r="AA47" s="42"/>
      <c r="AB47" s="42"/>
      <c r="AC47" s="42"/>
      <c r="AD47" s="42"/>
      <c r="AE47" s="42"/>
      <c r="AF47" s="42"/>
      <c r="AG47" s="42"/>
      <c r="AH47" s="42"/>
      <c r="AI47" s="42"/>
      <c r="AJ47" s="42"/>
      <c r="AK47" s="42"/>
      <c r="AL47" s="42"/>
      <c r="AM47" s="42"/>
      <c r="AN47" s="42"/>
      <c r="AO47" s="42"/>
      <c r="AP47" s="42"/>
      <c r="AQ47" s="42"/>
      <c r="AR47" s="42"/>
      <c r="AS47" s="42"/>
      <c r="AT47" s="42"/>
      <c r="AU47" s="42"/>
      <c r="AV47" s="42"/>
      <c r="AW47" s="42"/>
      <c r="AX47" s="42"/>
      <c r="AY47" s="42"/>
      <c r="AZ47" s="42"/>
      <c r="BA47" s="42"/>
      <c r="BB47" s="42"/>
      <c r="BC47" s="42"/>
    </row>
    <row r="48" spans="1:55" x14ac:dyDescent="0.2">
      <c r="A48" s="42"/>
      <c r="B48" s="42"/>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2"/>
      <c r="AD48" s="42"/>
      <c r="AE48" s="42"/>
      <c r="AF48" s="42"/>
      <c r="AG48" s="42"/>
      <c r="AH48" s="42"/>
      <c r="AI48" s="42"/>
      <c r="AJ48" s="42"/>
      <c r="AK48" s="42"/>
      <c r="AL48" s="42"/>
      <c r="AM48" s="42"/>
      <c r="AN48" s="42"/>
      <c r="AO48" s="42"/>
      <c r="AP48" s="42"/>
      <c r="AQ48" s="42"/>
      <c r="AR48" s="42"/>
      <c r="AS48" s="42"/>
      <c r="AT48" s="42"/>
      <c r="AU48" s="42"/>
      <c r="AV48" s="42"/>
      <c r="AW48" s="42"/>
      <c r="AX48" s="42"/>
      <c r="AY48" s="42"/>
      <c r="AZ48" s="42"/>
      <c r="BA48" s="42"/>
      <c r="BB48" s="42"/>
      <c r="BC48" s="42"/>
    </row>
    <row r="49" spans="1:55" ht="13.5" thickBot="1" x14ac:dyDescent="0.25">
      <c r="A49" s="46" t="s">
        <v>209</v>
      </c>
      <c r="B49" s="22"/>
      <c r="C49" s="23">
        <v>4494.3780310000002</v>
      </c>
      <c r="D49" s="23">
        <v>5135.2503449999995</v>
      </c>
      <c r="E49" s="23">
        <v>4977.6563960000003</v>
      </c>
      <c r="F49" s="23">
        <v>4597.8577300000006</v>
      </c>
      <c r="G49" s="23">
        <v>4319.7867470000001</v>
      </c>
      <c r="H49" s="23">
        <v>4111.2586529999999</v>
      </c>
      <c r="I49" s="23">
        <v>4077.1903870000006</v>
      </c>
      <c r="J49" s="23">
        <v>4208.3733380000003</v>
      </c>
      <c r="K49" s="23">
        <v>4569.3553579999998</v>
      </c>
      <c r="L49" s="23">
        <v>4466.5017099999995</v>
      </c>
      <c r="M49" s="23">
        <v>4781.931137999999</v>
      </c>
      <c r="N49" s="23">
        <v>4828.126041999999</v>
      </c>
      <c r="O49" s="23">
        <v>5048.8773769999998</v>
      </c>
      <c r="P49" s="23">
        <v>5095.567274</v>
      </c>
      <c r="Q49" s="23">
        <v>5133.1821580000005</v>
      </c>
      <c r="R49" s="23">
        <v>4869.9267290000007</v>
      </c>
      <c r="S49" s="23">
        <v>5007.1405260000001</v>
      </c>
      <c r="T49" s="23">
        <v>5140.716265</v>
      </c>
      <c r="U49" s="23">
        <v>4739.5142089999999</v>
      </c>
      <c r="V49" s="23">
        <v>4959.524922999999</v>
      </c>
      <c r="W49" s="23">
        <v>4727.2180370000005</v>
      </c>
      <c r="X49" s="23">
        <v>4647.4386430000004</v>
      </c>
      <c r="Y49" s="23">
        <v>4964.6454809999996</v>
      </c>
      <c r="Z49" s="23">
        <v>5009.630455999999</v>
      </c>
      <c r="AA49" s="23">
        <v>4791.3349650000009</v>
      </c>
      <c r="AB49" s="23">
        <v>5219.8893250000001</v>
      </c>
      <c r="AC49" s="23">
        <v>4570.8988790000003</v>
      </c>
      <c r="AD49" s="23">
        <v>4920.7748229999997</v>
      </c>
      <c r="AE49" s="23">
        <v>4740.9738880000004</v>
      </c>
      <c r="AF49" s="23">
        <v>4793.5986529999991</v>
      </c>
      <c r="AG49" s="23">
        <v>4444.204001000001</v>
      </c>
      <c r="AH49" s="23">
        <v>4578.0730460000004</v>
      </c>
      <c r="AI49" s="23">
        <v>4568.7844589999995</v>
      </c>
      <c r="AJ49" s="23">
        <v>4743.8492989999995</v>
      </c>
      <c r="AK49" s="23">
        <v>4570.7194839999993</v>
      </c>
      <c r="AL49" s="23">
        <v>4396.1246299999984</v>
      </c>
      <c r="AM49" s="23">
        <v>4433.4607459999997</v>
      </c>
      <c r="AN49" s="23">
        <v>4770.336006999999</v>
      </c>
      <c r="AO49" s="23">
        <v>4613.0454479999999</v>
      </c>
      <c r="AP49" s="23">
        <v>4706.8484070000004</v>
      </c>
      <c r="AQ49" s="23">
        <v>4422.5769950000004</v>
      </c>
      <c r="AR49" s="23">
        <v>4458.7158230000005</v>
      </c>
      <c r="AS49" s="23">
        <v>4716.3040899999996</v>
      </c>
      <c r="AT49" s="23">
        <v>4410.2319770000004</v>
      </c>
      <c r="AU49" s="23">
        <v>4540.2382789999992</v>
      </c>
      <c r="AV49" s="23">
        <v>4702.006942</v>
      </c>
      <c r="AW49" s="23">
        <v>3199.9467990000003</v>
      </c>
      <c r="AX49" s="23">
        <v>3403.1504660000001</v>
      </c>
      <c r="AY49" s="23">
        <v>4778.8713770000013</v>
      </c>
      <c r="AZ49" s="23">
        <v>4895.9988489999996</v>
      </c>
      <c r="BA49" s="23">
        <v>4842.6146609999996</v>
      </c>
      <c r="BB49" s="23">
        <v>3912.6530839999996</v>
      </c>
      <c r="BC49" s="23">
        <v>4461.3033560000003</v>
      </c>
    </row>
    <row r="50" spans="1:55" ht="13.5" thickTop="1" x14ac:dyDescent="0.2">
      <c r="A50" s="42"/>
      <c r="B50" s="42"/>
      <c r="C50" s="43"/>
      <c r="D50" s="42"/>
      <c r="E50" s="42"/>
      <c r="F50" s="42"/>
      <c r="G50" s="42"/>
      <c r="H50" s="42"/>
      <c r="I50" s="42"/>
      <c r="J50" s="42"/>
      <c r="K50" s="42"/>
      <c r="L50" s="42"/>
      <c r="M50" s="42"/>
      <c r="N50" s="42"/>
      <c r="O50" s="42"/>
      <c r="P50" s="42"/>
      <c r="Q50" s="42"/>
      <c r="R50" s="42"/>
      <c r="S50" s="42"/>
      <c r="T50" s="42"/>
      <c r="U50" s="42"/>
      <c r="V50" s="42"/>
      <c r="W50" s="42"/>
      <c r="X50" s="42"/>
      <c r="Y50" s="42"/>
      <c r="Z50" s="42"/>
      <c r="AA50" s="42"/>
      <c r="AB50" s="42"/>
      <c r="AC50" s="42"/>
      <c r="AD50" s="42"/>
      <c r="AE50" s="42"/>
      <c r="AF50" s="42"/>
      <c r="AG50" s="42"/>
      <c r="AH50" s="42"/>
      <c r="AI50" s="42"/>
      <c r="AJ50" s="42"/>
      <c r="AK50" s="42"/>
      <c r="AL50" s="42"/>
      <c r="AM50" s="42"/>
      <c r="AN50" s="42"/>
      <c r="AO50" s="42"/>
      <c r="AP50" s="42"/>
      <c r="AQ50" s="42"/>
      <c r="AR50" s="42"/>
      <c r="AS50" s="42"/>
      <c r="AT50" s="42"/>
      <c r="AU50" s="42"/>
      <c r="AV50" s="42"/>
      <c r="AW50" s="42"/>
      <c r="AX50" s="42"/>
      <c r="AY50" s="42"/>
      <c r="AZ50" s="42"/>
      <c r="BA50" s="42"/>
      <c r="BB50" s="42"/>
      <c r="BC50" s="42"/>
    </row>
  </sheetData>
  <sheetProtection algorithmName="SHA-512" hashValue="uja60WHzyNQvoyVVNfXtN0Spgs0v0fCRuTOSpJVO6JTHIMNhFrLtnhE0WS+e8wKGNT1Y/xxCKxPy3XEnneSnsA==" saltValue="kcCt/aeBTugt69W4Tl6u7g==" spinCount="100000" sheet="1" objects="1" scenarios="1"/>
  <mergeCells count="1">
    <mergeCell ref="A1:BC1"/>
  </mergeCells>
  <pageMargins left="0.17" right="0.17" top="0.17" bottom="0.5" header="0.17" footer="0.5"/>
  <pageSetup scale="70" fitToWidth="0" orientation="landscape" r:id="rId1"/>
  <headerFooter alignWithMargins="0"/>
  <colBreaks count="3" manualBreakCount="3">
    <brk id="15" max="48" man="1"/>
    <brk id="28" max="48" man="1"/>
    <brk id="41" max="48"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2">
    <tabColor rgb="FFFF0000"/>
  </sheetPr>
  <dimension ref="A1:BC50"/>
  <sheetViews>
    <sheetView workbookViewId="0">
      <selection activeCell="C22" sqref="C22"/>
    </sheetView>
  </sheetViews>
  <sheetFormatPr defaultColWidth="6.7109375" defaultRowHeight="12.75" x14ac:dyDescent="0.2"/>
  <cols>
    <col min="1" max="1" width="7.28515625" style="42" customWidth="1"/>
    <col min="2" max="2" width="53" style="42" bestFit="1" customWidth="1"/>
    <col min="3" max="3" width="9.42578125" style="43" customWidth="1"/>
    <col min="4" max="53" width="9.42578125" style="42" customWidth="1"/>
    <col min="54" max="54" width="9" style="42" customWidth="1"/>
    <col min="55" max="16384" width="6.7109375" style="42"/>
  </cols>
  <sheetData>
    <row r="1" spans="1:55" ht="52.9" customHeight="1" x14ac:dyDescent="0.4">
      <c r="A1" s="143" t="s">
        <v>219</v>
      </c>
      <c r="B1" s="144"/>
      <c r="C1" s="144"/>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c r="AH1" s="144"/>
      <c r="AI1" s="144"/>
      <c r="AJ1" s="144"/>
      <c r="AK1" s="144"/>
      <c r="AL1" s="144"/>
      <c r="AM1" s="144"/>
      <c r="AN1" s="144"/>
      <c r="AO1" s="144"/>
      <c r="AP1" s="144"/>
      <c r="AQ1" s="144"/>
      <c r="AR1" s="144"/>
      <c r="AS1" s="144"/>
      <c r="AT1" s="144"/>
      <c r="AU1" s="144"/>
      <c r="AV1" s="144"/>
      <c r="AW1" s="144"/>
      <c r="AX1" s="144"/>
      <c r="AY1" s="144"/>
      <c r="AZ1" s="144"/>
      <c r="BA1" s="144"/>
      <c r="BB1" s="144"/>
      <c r="BC1" s="144"/>
    </row>
    <row r="2" spans="1:55" ht="13.5" thickBot="1" x14ac:dyDescent="0.25">
      <c r="A2" s="4"/>
      <c r="B2" s="7" t="s">
        <v>178</v>
      </c>
      <c r="C2" s="5">
        <v>1</v>
      </c>
      <c r="D2" s="5">
        <v>2</v>
      </c>
      <c r="E2" s="5">
        <v>3</v>
      </c>
      <c r="F2" s="5">
        <v>4</v>
      </c>
      <c r="G2" s="5">
        <v>5</v>
      </c>
      <c r="H2" s="5">
        <v>6</v>
      </c>
      <c r="I2" s="5">
        <v>7</v>
      </c>
      <c r="J2" s="5">
        <v>8</v>
      </c>
      <c r="K2" s="5">
        <v>9</v>
      </c>
      <c r="L2" s="5">
        <v>10</v>
      </c>
      <c r="M2" s="5">
        <v>11</v>
      </c>
      <c r="N2" s="5">
        <v>12</v>
      </c>
      <c r="O2" s="5">
        <v>13</v>
      </c>
      <c r="P2" s="5">
        <v>14</v>
      </c>
      <c r="Q2" s="5">
        <v>15</v>
      </c>
      <c r="R2" s="5">
        <v>16</v>
      </c>
      <c r="S2" s="5">
        <v>17</v>
      </c>
      <c r="T2" s="5">
        <v>18</v>
      </c>
      <c r="U2" s="5">
        <v>19</v>
      </c>
      <c r="V2" s="5">
        <v>20</v>
      </c>
      <c r="W2" s="5">
        <v>21</v>
      </c>
      <c r="X2" s="5">
        <v>22</v>
      </c>
      <c r="Y2" s="5">
        <v>23</v>
      </c>
      <c r="Z2" s="5">
        <v>24</v>
      </c>
      <c r="AA2" s="5">
        <v>25</v>
      </c>
      <c r="AB2" s="5">
        <v>26</v>
      </c>
      <c r="AC2" s="5">
        <v>27</v>
      </c>
      <c r="AD2" s="5">
        <v>28</v>
      </c>
      <c r="AE2" s="5">
        <v>29</v>
      </c>
      <c r="AF2" s="5">
        <v>30</v>
      </c>
      <c r="AG2" s="5">
        <v>31</v>
      </c>
      <c r="AH2" s="5">
        <v>32</v>
      </c>
      <c r="AI2" s="5">
        <v>33</v>
      </c>
      <c r="AJ2" s="5">
        <v>34</v>
      </c>
      <c r="AK2" s="5">
        <v>35</v>
      </c>
      <c r="AL2" s="5">
        <v>36</v>
      </c>
      <c r="AM2" s="5">
        <v>37</v>
      </c>
      <c r="AN2" s="5">
        <v>38</v>
      </c>
      <c r="AO2" s="5">
        <v>39</v>
      </c>
      <c r="AP2" s="5">
        <v>40</v>
      </c>
      <c r="AQ2" s="5">
        <v>41</v>
      </c>
      <c r="AR2" s="5">
        <v>42</v>
      </c>
      <c r="AS2" s="5">
        <v>43</v>
      </c>
      <c r="AT2" s="5">
        <v>44</v>
      </c>
      <c r="AU2" s="5">
        <v>45</v>
      </c>
      <c r="AV2" s="5">
        <v>46</v>
      </c>
      <c r="AW2" s="5">
        <v>47</v>
      </c>
      <c r="AX2" s="5">
        <v>48</v>
      </c>
      <c r="AY2" s="5">
        <v>49</v>
      </c>
      <c r="AZ2" s="5">
        <v>50</v>
      </c>
      <c r="BA2" s="5">
        <v>51</v>
      </c>
      <c r="BB2" s="5">
        <v>52</v>
      </c>
    </row>
    <row r="3" spans="1:55" s="45" customFormat="1" ht="24.75" thickBot="1" x14ac:dyDescent="0.25">
      <c r="A3" s="6"/>
      <c r="B3" s="50" t="s">
        <v>179</v>
      </c>
      <c r="C3" s="51">
        <v>43100</v>
      </c>
      <c r="D3" s="51">
        <v>43107</v>
      </c>
      <c r="E3" s="51">
        <v>43114</v>
      </c>
      <c r="F3" s="51">
        <v>43121</v>
      </c>
      <c r="G3" s="51">
        <v>43128</v>
      </c>
      <c r="H3" s="51">
        <v>43135</v>
      </c>
      <c r="I3" s="51">
        <v>43142</v>
      </c>
      <c r="J3" s="51">
        <v>43149</v>
      </c>
      <c r="K3" s="51">
        <v>43156</v>
      </c>
      <c r="L3" s="51">
        <v>43163</v>
      </c>
      <c r="M3" s="51">
        <v>43170</v>
      </c>
      <c r="N3" s="51">
        <v>43177</v>
      </c>
      <c r="O3" s="51">
        <v>43184</v>
      </c>
      <c r="P3" s="51">
        <v>43191</v>
      </c>
      <c r="Q3" s="51">
        <v>43198</v>
      </c>
      <c r="R3" s="51">
        <v>43205</v>
      </c>
      <c r="S3" s="51">
        <v>43212</v>
      </c>
      <c r="T3" s="51">
        <v>43219</v>
      </c>
      <c r="U3" s="51">
        <v>43226</v>
      </c>
      <c r="V3" s="51">
        <v>43233</v>
      </c>
      <c r="W3" s="51">
        <v>43240</v>
      </c>
      <c r="X3" s="51">
        <v>43247</v>
      </c>
      <c r="Y3" s="51">
        <v>43254</v>
      </c>
      <c r="Z3" s="51">
        <v>43261</v>
      </c>
      <c r="AA3" s="51">
        <v>43268</v>
      </c>
      <c r="AB3" s="51">
        <v>43275</v>
      </c>
      <c r="AC3" s="51">
        <v>43282</v>
      </c>
      <c r="AD3" s="51">
        <v>43289</v>
      </c>
      <c r="AE3" s="51">
        <v>43296</v>
      </c>
      <c r="AF3" s="51">
        <v>43303</v>
      </c>
      <c r="AG3" s="51">
        <v>43310</v>
      </c>
      <c r="AH3" s="51">
        <v>43317</v>
      </c>
      <c r="AI3" s="51">
        <v>43324</v>
      </c>
      <c r="AJ3" s="51">
        <v>43331</v>
      </c>
      <c r="AK3" s="51">
        <v>43338</v>
      </c>
      <c r="AL3" s="51">
        <v>43345</v>
      </c>
      <c r="AM3" s="51">
        <v>43352</v>
      </c>
      <c r="AN3" s="51">
        <v>43359</v>
      </c>
      <c r="AO3" s="51">
        <v>43366</v>
      </c>
      <c r="AP3" s="51">
        <v>43373</v>
      </c>
      <c r="AQ3" s="51">
        <v>43380</v>
      </c>
      <c r="AR3" s="51">
        <v>43387</v>
      </c>
      <c r="AS3" s="51">
        <v>43394</v>
      </c>
      <c r="AT3" s="51">
        <v>43401</v>
      </c>
      <c r="AU3" s="51">
        <v>43408</v>
      </c>
      <c r="AV3" s="51">
        <v>43415</v>
      </c>
      <c r="AW3" s="51">
        <v>43422</v>
      </c>
      <c r="AX3" s="51">
        <v>43429</v>
      </c>
      <c r="AY3" s="51">
        <v>43436</v>
      </c>
      <c r="AZ3" s="51">
        <v>43443</v>
      </c>
      <c r="BA3" s="51">
        <v>43450</v>
      </c>
      <c r="BB3" s="51">
        <v>43457</v>
      </c>
      <c r="BC3" s="53"/>
    </row>
    <row r="4" spans="1:55" x14ac:dyDescent="0.2">
      <c r="A4" s="9" t="s">
        <v>180</v>
      </c>
      <c r="B4" s="10"/>
      <c r="C4" s="11">
        <v>6408</v>
      </c>
      <c r="D4" s="11">
        <v>7364</v>
      </c>
      <c r="E4" s="11">
        <v>7193</v>
      </c>
      <c r="F4" s="11">
        <v>7704</v>
      </c>
      <c r="G4" s="11">
        <v>7466</v>
      </c>
      <c r="H4" s="11">
        <v>6655</v>
      </c>
      <c r="I4" s="11">
        <v>6673</v>
      </c>
      <c r="J4" s="11">
        <v>7515</v>
      </c>
      <c r="K4" s="11">
        <v>7260</v>
      </c>
      <c r="L4" s="11">
        <v>7283</v>
      </c>
      <c r="M4" s="11">
        <v>7462</v>
      </c>
      <c r="N4" s="11">
        <v>7951</v>
      </c>
      <c r="O4" s="11">
        <v>7761</v>
      </c>
      <c r="P4" s="11">
        <v>7562</v>
      </c>
      <c r="Q4" s="11">
        <v>8107</v>
      </c>
      <c r="R4" s="11">
        <v>7924</v>
      </c>
      <c r="S4" s="11">
        <v>8112</v>
      </c>
      <c r="T4" s="11">
        <v>8321</v>
      </c>
      <c r="U4" s="11">
        <v>8046</v>
      </c>
      <c r="V4" s="11">
        <v>7835</v>
      </c>
      <c r="W4" s="11">
        <v>8131</v>
      </c>
      <c r="X4" s="11">
        <v>8317</v>
      </c>
      <c r="Y4" s="11">
        <v>8125</v>
      </c>
      <c r="Z4" s="11">
        <v>7878</v>
      </c>
      <c r="AA4" s="11">
        <v>7384</v>
      </c>
      <c r="AB4" s="11">
        <v>7786</v>
      </c>
      <c r="AC4" s="11">
        <v>7481</v>
      </c>
      <c r="AD4" s="11">
        <v>7779</v>
      </c>
      <c r="AE4" s="11">
        <v>7569</v>
      </c>
      <c r="AF4" s="11">
        <v>7906</v>
      </c>
      <c r="AG4" s="11">
        <v>8235</v>
      </c>
      <c r="AH4" s="11">
        <v>7711</v>
      </c>
      <c r="AI4" s="11">
        <v>7982</v>
      </c>
      <c r="AJ4" s="11">
        <v>7853</v>
      </c>
      <c r="AK4" s="11">
        <v>8105</v>
      </c>
      <c r="AL4" s="11">
        <v>7670</v>
      </c>
      <c r="AM4" s="11">
        <v>7961</v>
      </c>
      <c r="AN4" s="11">
        <v>7997</v>
      </c>
      <c r="AO4" s="11">
        <v>8060</v>
      </c>
      <c r="AP4" s="11">
        <v>7689</v>
      </c>
      <c r="AQ4" s="11">
        <v>7377</v>
      </c>
      <c r="AR4" s="11">
        <v>7438</v>
      </c>
      <c r="AS4" s="11">
        <v>7727</v>
      </c>
      <c r="AT4" s="11">
        <v>7673</v>
      </c>
      <c r="AU4" s="11">
        <v>7218</v>
      </c>
      <c r="AV4" s="11">
        <v>7180</v>
      </c>
      <c r="AW4" s="11">
        <v>7428</v>
      </c>
      <c r="AX4" s="11">
        <v>7497</v>
      </c>
      <c r="AY4" s="11">
        <v>7466</v>
      </c>
      <c r="AZ4" s="11">
        <v>7317</v>
      </c>
      <c r="BA4" s="11">
        <v>7544</v>
      </c>
      <c r="BB4" s="11">
        <v>4993</v>
      </c>
    </row>
    <row r="5" spans="1:55" x14ac:dyDescent="0.2">
      <c r="A5" s="12"/>
      <c r="B5" s="15" t="s">
        <v>181</v>
      </c>
      <c r="C5" s="13">
        <v>2405</v>
      </c>
      <c r="D5" s="13">
        <v>2872</v>
      </c>
      <c r="E5" s="13">
        <v>2986</v>
      </c>
      <c r="F5" s="13">
        <v>3201</v>
      </c>
      <c r="G5" s="13">
        <v>3061</v>
      </c>
      <c r="H5" s="13">
        <v>2605</v>
      </c>
      <c r="I5" s="13">
        <v>2620</v>
      </c>
      <c r="J5" s="13">
        <v>3111</v>
      </c>
      <c r="K5" s="13">
        <v>2878</v>
      </c>
      <c r="L5" s="13">
        <v>2970</v>
      </c>
      <c r="M5" s="13">
        <v>2995</v>
      </c>
      <c r="N5" s="13">
        <v>3459</v>
      </c>
      <c r="O5" s="13">
        <v>3088</v>
      </c>
      <c r="P5" s="13">
        <v>3115</v>
      </c>
      <c r="Q5" s="13">
        <v>3455</v>
      </c>
      <c r="R5" s="13">
        <v>3219</v>
      </c>
      <c r="S5" s="13">
        <v>3405</v>
      </c>
      <c r="T5" s="13">
        <v>3671</v>
      </c>
      <c r="U5" s="13">
        <v>3558</v>
      </c>
      <c r="V5" s="13">
        <v>3543</v>
      </c>
      <c r="W5" s="13">
        <v>3550</v>
      </c>
      <c r="X5" s="13">
        <v>3686</v>
      </c>
      <c r="Y5" s="13">
        <v>3519</v>
      </c>
      <c r="Z5" s="13">
        <v>3383</v>
      </c>
      <c r="AA5" s="13">
        <v>3215</v>
      </c>
      <c r="AB5" s="13">
        <v>3146</v>
      </c>
      <c r="AC5" s="13">
        <v>3074</v>
      </c>
      <c r="AD5" s="13">
        <v>3082</v>
      </c>
      <c r="AE5" s="13">
        <v>3064</v>
      </c>
      <c r="AF5" s="13">
        <v>3151</v>
      </c>
      <c r="AG5" s="13">
        <v>3301</v>
      </c>
      <c r="AH5" s="13">
        <v>3032</v>
      </c>
      <c r="AI5" s="13">
        <v>3406</v>
      </c>
      <c r="AJ5" s="13">
        <v>3415</v>
      </c>
      <c r="AK5" s="13">
        <v>3436</v>
      </c>
      <c r="AL5" s="13">
        <v>3007</v>
      </c>
      <c r="AM5" s="13">
        <v>3415</v>
      </c>
      <c r="AN5" s="13">
        <v>3300</v>
      </c>
      <c r="AO5" s="13">
        <v>3301</v>
      </c>
      <c r="AP5" s="13">
        <v>3101</v>
      </c>
      <c r="AQ5" s="13">
        <v>3080</v>
      </c>
      <c r="AR5" s="13">
        <v>3120</v>
      </c>
      <c r="AS5" s="13">
        <v>3152</v>
      </c>
      <c r="AT5" s="13">
        <v>3081</v>
      </c>
      <c r="AU5" s="13">
        <v>3012</v>
      </c>
      <c r="AV5" s="13">
        <v>2912</v>
      </c>
      <c r="AW5" s="13">
        <v>3107</v>
      </c>
      <c r="AX5" s="13">
        <v>3088</v>
      </c>
      <c r="AY5" s="13">
        <v>3042</v>
      </c>
      <c r="AZ5" s="13">
        <v>2944</v>
      </c>
      <c r="BA5" s="13">
        <v>3066</v>
      </c>
      <c r="BB5" s="13">
        <v>1346</v>
      </c>
    </row>
    <row r="6" spans="1:55" x14ac:dyDescent="0.2">
      <c r="A6" s="12"/>
      <c r="B6" s="15" t="s">
        <v>182</v>
      </c>
      <c r="C6" s="13">
        <v>1176</v>
      </c>
      <c r="D6" s="13">
        <v>1363</v>
      </c>
      <c r="E6" s="13">
        <v>1324</v>
      </c>
      <c r="F6" s="13">
        <v>1321</v>
      </c>
      <c r="G6" s="13">
        <v>1384</v>
      </c>
      <c r="H6" s="13">
        <v>1099</v>
      </c>
      <c r="I6" s="13">
        <v>1128</v>
      </c>
      <c r="J6" s="13">
        <v>1269</v>
      </c>
      <c r="K6" s="13">
        <v>1338</v>
      </c>
      <c r="L6" s="13">
        <v>1316</v>
      </c>
      <c r="M6" s="13">
        <v>1541</v>
      </c>
      <c r="N6" s="13">
        <v>1494</v>
      </c>
      <c r="O6" s="13">
        <v>1310</v>
      </c>
      <c r="P6" s="13">
        <v>1415</v>
      </c>
      <c r="Q6" s="13">
        <v>1410</v>
      </c>
      <c r="R6" s="13">
        <v>1429</v>
      </c>
      <c r="S6" s="13">
        <v>1473</v>
      </c>
      <c r="T6" s="13">
        <v>1422</v>
      </c>
      <c r="U6" s="13">
        <v>1426</v>
      </c>
      <c r="V6" s="13">
        <v>1347</v>
      </c>
      <c r="W6" s="13">
        <v>1361</v>
      </c>
      <c r="X6" s="13">
        <v>1442</v>
      </c>
      <c r="Y6" s="13">
        <v>1414</v>
      </c>
      <c r="Z6" s="13">
        <v>1450</v>
      </c>
      <c r="AA6" s="13">
        <v>1328</v>
      </c>
      <c r="AB6" s="13">
        <v>1590</v>
      </c>
      <c r="AC6" s="13">
        <v>1271</v>
      </c>
      <c r="AD6" s="13">
        <v>1448</v>
      </c>
      <c r="AE6" s="13">
        <v>1451</v>
      </c>
      <c r="AF6" s="13">
        <v>1420</v>
      </c>
      <c r="AG6" s="13">
        <v>1544</v>
      </c>
      <c r="AH6" s="13">
        <v>1327</v>
      </c>
      <c r="AI6" s="13">
        <v>1448</v>
      </c>
      <c r="AJ6" s="13">
        <v>1396</v>
      </c>
      <c r="AK6" s="13">
        <v>1528</v>
      </c>
      <c r="AL6" s="13">
        <v>1335</v>
      </c>
      <c r="AM6" s="13">
        <v>1463</v>
      </c>
      <c r="AN6" s="13">
        <v>1457</v>
      </c>
      <c r="AO6" s="13">
        <v>1512</v>
      </c>
      <c r="AP6" s="13">
        <v>1461</v>
      </c>
      <c r="AQ6" s="13">
        <v>1334</v>
      </c>
      <c r="AR6" s="13">
        <v>1255</v>
      </c>
      <c r="AS6" s="13">
        <v>1436</v>
      </c>
      <c r="AT6" s="13">
        <v>1405</v>
      </c>
      <c r="AU6" s="13">
        <v>1118</v>
      </c>
      <c r="AV6" s="13">
        <v>1219</v>
      </c>
      <c r="AW6" s="13">
        <v>1272</v>
      </c>
      <c r="AX6" s="13">
        <v>1267</v>
      </c>
      <c r="AY6" s="13">
        <v>1348</v>
      </c>
      <c r="AZ6" s="13">
        <v>1355</v>
      </c>
      <c r="BA6" s="13">
        <v>1339</v>
      </c>
      <c r="BB6" s="13">
        <v>515</v>
      </c>
    </row>
    <row r="7" spans="1:55" x14ac:dyDescent="0.2">
      <c r="A7" s="12"/>
      <c r="B7" s="15" t="s">
        <v>183</v>
      </c>
      <c r="C7" s="13">
        <v>2827</v>
      </c>
      <c r="D7" s="13">
        <v>3129</v>
      </c>
      <c r="E7" s="13">
        <v>2883</v>
      </c>
      <c r="F7" s="13">
        <v>3182</v>
      </c>
      <c r="G7" s="13">
        <v>3021</v>
      </c>
      <c r="H7" s="13">
        <v>2951</v>
      </c>
      <c r="I7" s="13">
        <v>2925</v>
      </c>
      <c r="J7" s="13">
        <v>3135</v>
      </c>
      <c r="K7" s="13">
        <v>3044</v>
      </c>
      <c r="L7" s="13">
        <v>2997</v>
      </c>
      <c r="M7" s="13">
        <v>2926</v>
      </c>
      <c r="N7" s="13">
        <v>2998</v>
      </c>
      <c r="O7" s="13">
        <v>3363</v>
      </c>
      <c r="P7" s="13">
        <v>3032</v>
      </c>
      <c r="Q7" s="13">
        <v>3242</v>
      </c>
      <c r="R7" s="13">
        <v>3276</v>
      </c>
      <c r="S7" s="13">
        <v>3234</v>
      </c>
      <c r="T7" s="13">
        <v>3228</v>
      </c>
      <c r="U7" s="13">
        <v>3062</v>
      </c>
      <c r="V7" s="13">
        <v>2945</v>
      </c>
      <c r="W7" s="13">
        <v>3220</v>
      </c>
      <c r="X7" s="13">
        <v>3189</v>
      </c>
      <c r="Y7" s="13">
        <v>3192</v>
      </c>
      <c r="Z7" s="13">
        <v>3045</v>
      </c>
      <c r="AA7" s="13">
        <v>2841</v>
      </c>
      <c r="AB7" s="13">
        <v>3050</v>
      </c>
      <c r="AC7" s="13">
        <v>3136</v>
      </c>
      <c r="AD7" s="13">
        <v>3249</v>
      </c>
      <c r="AE7" s="13">
        <v>3054</v>
      </c>
      <c r="AF7" s="13">
        <v>3335</v>
      </c>
      <c r="AG7" s="13">
        <v>3390</v>
      </c>
      <c r="AH7" s="13">
        <v>3352</v>
      </c>
      <c r="AI7" s="13">
        <v>3128</v>
      </c>
      <c r="AJ7" s="13">
        <v>3042</v>
      </c>
      <c r="AK7" s="13">
        <v>3141</v>
      </c>
      <c r="AL7" s="13">
        <v>3328</v>
      </c>
      <c r="AM7" s="13">
        <v>3083</v>
      </c>
      <c r="AN7" s="13">
        <v>3240</v>
      </c>
      <c r="AO7" s="13">
        <v>3247</v>
      </c>
      <c r="AP7" s="13">
        <v>3127</v>
      </c>
      <c r="AQ7" s="13">
        <v>2963</v>
      </c>
      <c r="AR7" s="13">
        <v>3063</v>
      </c>
      <c r="AS7" s="13">
        <v>3139</v>
      </c>
      <c r="AT7" s="13">
        <v>3187</v>
      </c>
      <c r="AU7" s="13">
        <v>3088</v>
      </c>
      <c r="AV7" s="13">
        <v>3049</v>
      </c>
      <c r="AW7" s="13">
        <v>3049</v>
      </c>
      <c r="AX7" s="13">
        <v>3142</v>
      </c>
      <c r="AY7" s="13">
        <v>3076</v>
      </c>
      <c r="AZ7" s="13">
        <v>3018</v>
      </c>
      <c r="BA7" s="13">
        <v>3139</v>
      </c>
      <c r="BB7" s="13">
        <v>3132</v>
      </c>
    </row>
    <row r="8" spans="1:55" x14ac:dyDescent="0.2">
      <c r="A8" s="12"/>
      <c r="B8" s="15"/>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row>
    <row r="9" spans="1:55" x14ac:dyDescent="0.2">
      <c r="A9" s="16" t="s">
        <v>184</v>
      </c>
      <c r="B9" s="12"/>
      <c r="C9" s="11">
        <v>13583</v>
      </c>
      <c r="D9" s="11">
        <v>15043</v>
      </c>
      <c r="E9" s="11">
        <v>14105</v>
      </c>
      <c r="F9" s="11">
        <v>15959</v>
      </c>
      <c r="G9" s="11">
        <v>14795</v>
      </c>
      <c r="H9" s="11">
        <v>14562</v>
      </c>
      <c r="I9" s="11">
        <v>15233</v>
      </c>
      <c r="J9" s="11">
        <v>14561</v>
      </c>
      <c r="K9" s="11">
        <v>16647</v>
      </c>
      <c r="L9" s="11">
        <v>14839</v>
      </c>
      <c r="M9" s="11">
        <v>15106</v>
      </c>
      <c r="N9" s="11">
        <v>15593</v>
      </c>
      <c r="O9" s="11">
        <v>15108</v>
      </c>
      <c r="P9" s="11">
        <v>15555</v>
      </c>
      <c r="Q9" s="11">
        <v>15377</v>
      </c>
      <c r="R9" s="11">
        <v>15842</v>
      </c>
      <c r="S9" s="11">
        <v>16234</v>
      </c>
      <c r="T9" s="11">
        <v>15493</v>
      </c>
      <c r="U9" s="11">
        <v>15490</v>
      </c>
      <c r="V9" s="11">
        <v>16019</v>
      </c>
      <c r="W9" s="11">
        <v>15483</v>
      </c>
      <c r="X9" s="11">
        <v>15305</v>
      </c>
      <c r="Y9" s="11">
        <v>16055</v>
      </c>
      <c r="Z9" s="11">
        <v>15541</v>
      </c>
      <c r="AA9" s="11">
        <v>15338</v>
      </c>
      <c r="AB9" s="11">
        <v>15374</v>
      </c>
      <c r="AC9" s="11">
        <v>14601</v>
      </c>
      <c r="AD9" s="11">
        <v>14906</v>
      </c>
      <c r="AE9" s="11">
        <v>14508</v>
      </c>
      <c r="AF9" s="11">
        <v>15490</v>
      </c>
      <c r="AG9" s="11">
        <v>15351</v>
      </c>
      <c r="AH9" s="11">
        <v>15814</v>
      </c>
      <c r="AI9" s="11">
        <v>15819</v>
      </c>
      <c r="AJ9" s="11">
        <v>15058</v>
      </c>
      <c r="AK9" s="11">
        <v>16963</v>
      </c>
      <c r="AL9" s="11">
        <v>15967</v>
      </c>
      <c r="AM9" s="11">
        <v>15619</v>
      </c>
      <c r="AN9" s="11">
        <v>16082</v>
      </c>
      <c r="AO9" s="11">
        <v>16263</v>
      </c>
      <c r="AP9" s="11">
        <v>16461</v>
      </c>
      <c r="AQ9" s="11">
        <v>16608</v>
      </c>
      <c r="AR9" s="11">
        <v>17991</v>
      </c>
      <c r="AS9" s="11">
        <v>17423</v>
      </c>
      <c r="AT9" s="11">
        <v>16847</v>
      </c>
      <c r="AU9" s="11">
        <v>17652</v>
      </c>
      <c r="AV9" s="11">
        <v>17476</v>
      </c>
      <c r="AW9" s="11">
        <v>17711</v>
      </c>
      <c r="AX9" s="11">
        <v>19139</v>
      </c>
      <c r="AY9" s="11">
        <v>17455</v>
      </c>
      <c r="AZ9" s="11">
        <v>18173</v>
      </c>
      <c r="BA9" s="11">
        <v>18291</v>
      </c>
      <c r="BB9" s="11">
        <v>16001</v>
      </c>
    </row>
    <row r="10" spans="1:55" x14ac:dyDescent="0.2">
      <c r="A10" s="12"/>
      <c r="B10" s="15" t="s">
        <v>185</v>
      </c>
      <c r="C10" s="13">
        <v>7900</v>
      </c>
      <c r="D10" s="13">
        <v>8836</v>
      </c>
      <c r="E10" s="13">
        <v>7982</v>
      </c>
      <c r="F10" s="13">
        <v>9460</v>
      </c>
      <c r="G10" s="13">
        <v>8309</v>
      </c>
      <c r="H10" s="13">
        <v>8620</v>
      </c>
      <c r="I10" s="13">
        <v>8853</v>
      </c>
      <c r="J10" s="13">
        <v>8771</v>
      </c>
      <c r="K10" s="13">
        <v>10251</v>
      </c>
      <c r="L10" s="13">
        <v>8824</v>
      </c>
      <c r="M10" s="13">
        <v>8931</v>
      </c>
      <c r="N10" s="13">
        <v>9136</v>
      </c>
      <c r="O10" s="13">
        <v>8591</v>
      </c>
      <c r="P10" s="13">
        <v>8899</v>
      </c>
      <c r="Q10" s="13">
        <v>9281</v>
      </c>
      <c r="R10" s="13">
        <v>9539</v>
      </c>
      <c r="S10" s="13">
        <v>9578</v>
      </c>
      <c r="T10" s="13">
        <v>9214</v>
      </c>
      <c r="U10" s="13">
        <v>9140</v>
      </c>
      <c r="V10" s="13">
        <v>9976</v>
      </c>
      <c r="W10" s="13">
        <v>9310</v>
      </c>
      <c r="X10" s="13">
        <v>8754</v>
      </c>
      <c r="Y10" s="13">
        <v>9214</v>
      </c>
      <c r="Z10" s="13">
        <v>8946</v>
      </c>
      <c r="AA10" s="13">
        <v>8686</v>
      </c>
      <c r="AB10" s="13">
        <v>8828</v>
      </c>
      <c r="AC10" s="13">
        <v>8158</v>
      </c>
      <c r="AD10" s="13">
        <v>8685</v>
      </c>
      <c r="AE10" s="13">
        <v>8450</v>
      </c>
      <c r="AF10" s="13">
        <v>8651</v>
      </c>
      <c r="AG10" s="13">
        <v>8830</v>
      </c>
      <c r="AH10" s="13">
        <v>9108</v>
      </c>
      <c r="AI10" s="13">
        <v>9274</v>
      </c>
      <c r="AJ10" s="13">
        <v>8626</v>
      </c>
      <c r="AK10" s="13">
        <v>9952</v>
      </c>
      <c r="AL10" s="13">
        <v>9157</v>
      </c>
      <c r="AM10" s="13">
        <v>8845</v>
      </c>
      <c r="AN10" s="13">
        <v>9288</v>
      </c>
      <c r="AO10" s="13">
        <v>9336</v>
      </c>
      <c r="AP10" s="13">
        <v>9032</v>
      </c>
      <c r="AQ10" s="13">
        <v>8835</v>
      </c>
      <c r="AR10" s="13">
        <v>9505</v>
      </c>
      <c r="AS10" s="13">
        <v>8937</v>
      </c>
      <c r="AT10" s="13">
        <v>8546</v>
      </c>
      <c r="AU10" s="13">
        <v>9311</v>
      </c>
      <c r="AV10" s="13">
        <v>8502</v>
      </c>
      <c r="AW10" s="13">
        <v>9168</v>
      </c>
      <c r="AX10" s="13">
        <v>9820</v>
      </c>
      <c r="AY10" s="13">
        <v>8731</v>
      </c>
      <c r="AZ10" s="13">
        <v>9654</v>
      </c>
      <c r="BA10" s="13">
        <v>9407</v>
      </c>
      <c r="BB10" s="13">
        <v>8762</v>
      </c>
    </row>
    <row r="11" spans="1:55" x14ac:dyDescent="0.2">
      <c r="A11" s="12"/>
      <c r="B11" s="15" t="s">
        <v>186</v>
      </c>
      <c r="C11" s="13">
        <v>5090</v>
      </c>
      <c r="D11" s="13">
        <v>5405</v>
      </c>
      <c r="E11" s="13">
        <v>5215</v>
      </c>
      <c r="F11" s="13">
        <v>5692</v>
      </c>
      <c r="G11" s="13">
        <v>5693</v>
      </c>
      <c r="H11" s="13">
        <v>5048</v>
      </c>
      <c r="I11" s="13">
        <v>5482</v>
      </c>
      <c r="J11" s="13">
        <v>4808</v>
      </c>
      <c r="K11" s="13">
        <v>5462</v>
      </c>
      <c r="L11" s="13">
        <v>5260</v>
      </c>
      <c r="M11" s="13">
        <v>5247</v>
      </c>
      <c r="N11" s="13">
        <v>5504</v>
      </c>
      <c r="O11" s="13">
        <v>5571</v>
      </c>
      <c r="P11" s="13">
        <v>5630</v>
      </c>
      <c r="Q11" s="13">
        <v>5037</v>
      </c>
      <c r="R11" s="13">
        <v>5505</v>
      </c>
      <c r="S11" s="13">
        <v>5422</v>
      </c>
      <c r="T11" s="13">
        <v>5368</v>
      </c>
      <c r="U11" s="13">
        <v>5280</v>
      </c>
      <c r="V11" s="13">
        <v>5171</v>
      </c>
      <c r="W11" s="13">
        <v>5143</v>
      </c>
      <c r="X11" s="13">
        <v>5605</v>
      </c>
      <c r="Y11" s="13">
        <v>6006</v>
      </c>
      <c r="Z11" s="13">
        <v>5359</v>
      </c>
      <c r="AA11" s="13">
        <v>5592</v>
      </c>
      <c r="AB11" s="13">
        <v>5486</v>
      </c>
      <c r="AC11" s="13">
        <v>5686</v>
      </c>
      <c r="AD11" s="13">
        <v>5170</v>
      </c>
      <c r="AE11" s="13">
        <v>5177</v>
      </c>
      <c r="AF11" s="13">
        <v>5679</v>
      </c>
      <c r="AG11" s="13">
        <v>5379</v>
      </c>
      <c r="AH11" s="13">
        <v>5680</v>
      </c>
      <c r="AI11" s="13">
        <v>5619</v>
      </c>
      <c r="AJ11" s="13">
        <v>5264</v>
      </c>
      <c r="AK11" s="13">
        <v>5935</v>
      </c>
      <c r="AL11" s="13">
        <v>5719</v>
      </c>
      <c r="AM11" s="13">
        <v>5701</v>
      </c>
      <c r="AN11" s="13">
        <v>5811</v>
      </c>
      <c r="AO11" s="13">
        <v>6006</v>
      </c>
      <c r="AP11" s="13">
        <v>6499</v>
      </c>
      <c r="AQ11" s="13">
        <v>6770</v>
      </c>
      <c r="AR11" s="13">
        <v>7163</v>
      </c>
      <c r="AS11" s="13">
        <v>7282</v>
      </c>
      <c r="AT11" s="13">
        <v>7083</v>
      </c>
      <c r="AU11" s="13">
        <v>7308</v>
      </c>
      <c r="AV11" s="13">
        <v>7877</v>
      </c>
      <c r="AW11" s="13">
        <v>7830</v>
      </c>
      <c r="AX11" s="13">
        <v>8147</v>
      </c>
      <c r="AY11" s="13">
        <v>7524</v>
      </c>
      <c r="AZ11" s="13">
        <v>7623</v>
      </c>
      <c r="BA11" s="13">
        <v>7991</v>
      </c>
      <c r="BB11" s="13">
        <v>6687</v>
      </c>
    </row>
    <row r="12" spans="1:55" x14ac:dyDescent="0.2">
      <c r="A12" s="12"/>
      <c r="B12" s="15" t="s">
        <v>187</v>
      </c>
      <c r="C12" s="13">
        <v>593</v>
      </c>
      <c r="D12" s="13">
        <v>802</v>
      </c>
      <c r="E12" s="13">
        <v>908</v>
      </c>
      <c r="F12" s="13">
        <v>807</v>
      </c>
      <c r="G12" s="13">
        <v>793</v>
      </c>
      <c r="H12" s="13">
        <v>894</v>
      </c>
      <c r="I12" s="13">
        <v>898</v>
      </c>
      <c r="J12" s="13">
        <v>982</v>
      </c>
      <c r="K12" s="13">
        <v>934</v>
      </c>
      <c r="L12" s="13">
        <v>755</v>
      </c>
      <c r="M12" s="13">
        <v>928</v>
      </c>
      <c r="N12" s="13">
        <v>953</v>
      </c>
      <c r="O12" s="13">
        <v>946</v>
      </c>
      <c r="P12" s="13">
        <v>1026</v>
      </c>
      <c r="Q12" s="13">
        <v>1059</v>
      </c>
      <c r="R12" s="13">
        <v>798</v>
      </c>
      <c r="S12" s="13">
        <v>1234</v>
      </c>
      <c r="T12" s="13">
        <v>911</v>
      </c>
      <c r="U12" s="13">
        <v>1070</v>
      </c>
      <c r="V12" s="13">
        <v>872</v>
      </c>
      <c r="W12" s="13">
        <v>1030</v>
      </c>
      <c r="X12" s="13">
        <v>946</v>
      </c>
      <c r="Y12" s="13">
        <v>835</v>
      </c>
      <c r="Z12" s="13">
        <v>1236</v>
      </c>
      <c r="AA12" s="13">
        <v>1060</v>
      </c>
      <c r="AB12" s="13">
        <v>1060</v>
      </c>
      <c r="AC12" s="13">
        <v>757</v>
      </c>
      <c r="AD12" s="13">
        <v>1051</v>
      </c>
      <c r="AE12" s="13">
        <v>881</v>
      </c>
      <c r="AF12" s="13">
        <v>1160</v>
      </c>
      <c r="AG12" s="13">
        <v>1142</v>
      </c>
      <c r="AH12" s="13">
        <v>1026</v>
      </c>
      <c r="AI12" s="13">
        <v>926</v>
      </c>
      <c r="AJ12" s="13">
        <v>1168</v>
      </c>
      <c r="AK12" s="13">
        <v>1076</v>
      </c>
      <c r="AL12" s="13">
        <v>1091</v>
      </c>
      <c r="AM12" s="13">
        <v>1073</v>
      </c>
      <c r="AN12" s="13">
        <v>983</v>
      </c>
      <c r="AO12" s="13">
        <v>921</v>
      </c>
      <c r="AP12" s="13">
        <v>930</v>
      </c>
      <c r="AQ12" s="13">
        <v>1003</v>
      </c>
      <c r="AR12" s="13">
        <v>1323</v>
      </c>
      <c r="AS12" s="13">
        <v>1204</v>
      </c>
      <c r="AT12" s="13">
        <v>1218</v>
      </c>
      <c r="AU12" s="13">
        <v>1033</v>
      </c>
      <c r="AV12" s="13">
        <v>1097</v>
      </c>
      <c r="AW12" s="13">
        <v>713</v>
      </c>
      <c r="AX12" s="13">
        <v>1172</v>
      </c>
      <c r="AY12" s="13">
        <v>1200</v>
      </c>
      <c r="AZ12" s="13">
        <v>896</v>
      </c>
      <c r="BA12" s="13">
        <v>893</v>
      </c>
      <c r="BB12" s="13">
        <v>552</v>
      </c>
    </row>
    <row r="13" spans="1:55" x14ac:dyDescent="0.2">
      <c r="A13" s="12"/>
      <c r="B13" s="15"/>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row>
    <row r="14" spans="1:55" x14ac:dyDescent="0.2">
      <c r="A14" s="9" t="s">
        <v>188</v>
      </c>
      <c r="B14" s="17"/>
      <c r="C14" s="11">
        <v>14970</v>
      </c>
      <c r="D14" s="11">
        <v>16372</v>
      </c>
      <c r="E14" s="11">
        <v>16591</v>
      </c>
      <c r="F14" s="11">
        <v>18452</v>
      </c>
      <c r="G14" s="11">
        <v>19207</v>
      </c>
      <c r="H14" s="11">
        <v>17765</v>
      </c>
      <c r="I14" s="11">
        <v>15748</v>
      </c>
      <c r="J14" s="11">
        <v>18399</v>
      </c>
      <c r="K14" s="11">
        <v>18509</v>
      </c>
      <c r="L14" s="11">
        <v>18973</v>
      </c>
      <c r="M14" s="11">
        <v>18304</v>
      </c>
      <c r="N14" s="11">
        <v>19238</v>
      </c>
      <c r="O14" s="11">
        <v>18906</v>
      </c>
      <c r="P14" s="11">
        <v>18224</v>
      </c>
      <c r="Q14" s="11">
        <v>18347</v>
      </c>
      <c r="R14" s="11">
        <v>17266</v>
      </c>
      <c r="S14" s="11">
        <v>18572</v>
      </c>
      <c r="T14" s="11">
        <v>18701</v>
      </c>
      <c r="U14" s="11">
        <v>18821</v>
      </c>
      <c r="V14" s="11">
        <v>19518</v>
      </c>
      <c r="W14" s="11">
        <v>19566</v>
      </c>
      <c r="X14" s="11">
        <v>20429</v>
      </c>
      <c r="Y14" s="11">
        <v>18309</v>
      </c>
      <c r="Z14" s="11">
        <v>19668</v>
      </c>
      <c r="AA14" s="11">
        <v>19249</v>
      </c>
      <c r="AB14" s="11">
        <v>20532</v>
      </c>
      <c r="AC14" s="11">
        <v>18935</v>
      </c>
      <c r="AD14" s="11">
        <v>19851</v>
      </c>
      <c r="AE14" s="11">
        <v>20244</v>
      </c>
      <c r="AF14" s="11">
        <v>20038</v>
      </c>
      <c r="AG14" s="11">
        <v>20454</v>
      </c>
      <c r="AH14" s="11">
        <v>18956</v>
      </c>
      <c r="AI14" s="11">
        <v>19767</v>
      </c>
      <c r="AJ14" s="11">
        <v>19539</v>
      </c>
      <c r="AK14" s="11">
        <v>19938</v>
      </c>
      <c r="AL14" s="11">
        <v>17835</v>
      </c>
      <c r="AM14" s="11">
        <v>15268</v>
      </c>
      <c r="AN14" s="11">
        <v>18891</v>
      </c>
      <c r="AO14" s="11">
        <v>19391</v>
      </c>
      <c r="AP14" s="11">
        <v>18482</v>
      </c>
      <c r="AQ14" s="11">
        <v>18971</v>
      </c>
      <c r="AR14" s="11">
        <v>18512</v>
      </c>
      <c r="AS14" s="11">
        <v>20131</v>
      </c>
      <c r="AT14" s="11">
        <v>18821</v>
      </c>
      <c r="AU14" s="11">
        <v>18824</v>
      </c>
      <c r="AV14" s="11">
        <v>17761</v>
      </c>
      <c r="AW14" s="11">
        <v>17674</v>
      </c>
      <c r="AX14" s="11">
        <v>17077</v>
      </c>
      <c r="AY14" s="11">
        <v>15814</v>
      </c>
      <c r="AZ14" s="11">
        <v>16068</v>
      </c>
      <c r="BA14" s="11">
        <v>18852</v>
      </c>
      <c r="BB14" s="11">
        <v>16007</v>
      </c>
    </row>
    <row r="15" spans="1:55" x14ac:dyDescent="0.2">
      <c r="A15" s="12"/>
      <c r="B15" s="15" t="s">
        <v>189</v>
      </c>
      <c r="C15" s="13">
        <v>2565</v>
      </c>
      <c r="D15" s="13">
        <v>2776</v>
      </c>
      <c r="E15" s="13">
        <v>2844</v>
      </c>
      <c r="F15" s="13">
        <v>3161</v>
      </c>
      <c r="G15" s="13">
        <v>3812</v>
      </c>
      <c r="H15" s="13">
        <v>3179</v>
      </c>
      <c r="I15" s="13">
        <v>1933</v>
      </c>
      <c r="J15" s="13">
        <v>3017</v>
      </c>
      <c r="K15" s="13">
        <v>3244</v>
      </c>
      <c r="L15" s="13">
        <v>3130</v>
      </c>
      <c r="M15" s="13">
        <v>2966</v>
      </c>
      <c r="N15" s="13">
        <v>3495</v>
      </c>
      <c r="O15" s="13">
        <v>3419</v>
      </c>
      <c r="P15" s="13">
        <v>3656</v>
      </c>
      <c r="Q15" s="13">
        <v>3427</v>
      </c>
      <c r="R15" s="13">
        <v>3021</v>
      </c>
      <c r="S15" s="13">
        <v>3715</v>
      </c>
      <c r="T15" s="13">
        <v>3998</v>
      </c>
      <c r="U15" s="13">
        <v>4149</v>
      </c>
      <c r="V15" s="13">
        <v>4700</v>
      </c>
      <c r="W15" s="13">
        <v>4379</v>
      </c>
      <c r="X15" s="13">
        <v>4937</v>
      </c>
      <c r="Y15" s="13">
        <v>4269</v>
      </c>
      <c r="Z15" s="13">
        <v>3749</v>
      </c>
      <c r="AA15" s="13">
        <v>3956</v>
      </c>
      <c r="AB15" s="13">
        <v>3987</v>
      </c>
      <c r="AC15" s="13">
        <v>3283</v>
      </c>
      <c r="AD15" s="13">
        <v>4614</v>
      </c>
      <c r="AE15" s="13">
        <v>4410</v>
      </c>
      <c r="AF15" s="13">
        <v>4519</v>
      </c>
      <c r="AG15" s="13">
        <v>3945</v>
      </c>
      <c r="AH15" s="13">
        <v>4083</v>
      </c>
      <c r="AI15" s="13">
        <v>3808</v>
      </c>
      <c r="AJ15" s="13">
        <v>3982</v>
      </c>
      <c r="AK15" s="13">
        <v>4022</v>
      </c>
      <c r="AL15" s="13">
        <v>3677</v>
      </c>
      <c r="AM15" s="13">
        <v>3423</v>
      </c>
      <c r="AN15" s="13">
        <v>3645</v>
      </c>
      <c r="AO15" s="13">
        <v>3611</v>
      </c>
      <c r="AP15" s="13">
        <v>2849</v>
      </c>
      <c r="AQ15" s="13">
        <v>3252</v>
      </c>
      <c r="AR15" s="13">
        <v>3006</v>
      </c>
      <c r="AS15" s="13">
        <v>3241</v>
      </c>
      <c r="AT15" s="13">
        <v>3656</v>
      </c>
      <c r="AU15" s="13">
        <v>3058</v>
      </c>
      <c r="AV15" s="13">
        <v>2417</v>
      </c>
      <c r="AW15" s="13">
        <v>1949</v>
      </c>
      <c r="AX15" s="13">
        <v>2139</v>
      </c>
      <c r="AY15" s="13">
        <v>1926</v>
      </c>
      <c r="AZ15" s="13">
        <v>2157</v>
      </c>
      <c r="BA15" s="13">
        <v>2411</v>
      </c>
      <c r="BB15" s="13">
        <v>2044</v>
      </c>
    </row>
    <row r="16" spans="1:55" x14ac:dyDescent="0.2">
      <c r="A16" s="12"/>
      <c r="B16" s="15" t="s">
        <v>190</v>
      </c>
      <c r="C16" s="13">
        <v>1508</v>
      </c>
      <c r="D16" s="13">
        <v>1549</v>
      </c>
      <c r="E16" s="13">
        <v>1690</v>
      </c>
      <c r="F16" s="13">
        <v>1991</v>
      </c>
      <c r="G16" s="13">
        <v>1966</v>
      </c>
      <c r="H16" s="13">
        <v>1729</v>
      </c>
      <c r="I16" s="13">
        <v>1841</v>
      </c>
      <c r="J16" s="13">
        <v>1776</v>
      </c>
      <c r="K16" s="13">
        <v>2019</v>
      </c>
      <c r="L16" s="13">
        <v>2057</v>
      </c>
      <c r="M16" s="13">
        <v>2053</v>
      </c>
      <c r="N16" s="13">
        <v>2070</v>
      </c>
      <c r="O16" s="13">
        <v>2154</v>
      </c>
      <c r="P16" s="13">
        <v>1865</v>
      </c>
      <c r="Q16" s="13">
        <v>1997</v>
      </c>
      <c r="R16" s="13">
        <v>1954</v>
      </c>
      <c r="S16" s="13">
        <v>2090</v>
      </c>
      <c r="T16" s="13">
        <v>2035</v>
      </c>
      <c r="U16" s="13">
        <v>2105</v>
      </c>
      <c r="V16" s="13">
        <v>1883</v>
      </c>
      <c r="W16" s="13">
        <v>1907</v>
      </c>
      <c r="X16" s="13">
        <v>1989</v>
      </c>
      <c r="Y16" s="13">
        <v>1619</v>
      </c>
      <c r="Z16" s="13">
        <v>1808</v>
      </c>
      <c r="AA16" s="13">
        <v>1916</v>
      </c>
      <c r="AB16" s="13">
        <v>2037</v>
      </c>
      <c r="AC16" s="13">
        <v>1595</v>
      </c>
      <c r="AD16" s="13">
        <v>1722</v>
      </c>
      <c r="AE16" s="13">
        <v>1688</v>
      </c>
      <c r="AF16" s="13">
        <v>1825</v>
      </c>
      <c r="AG16" s="13">
        <v>1877</v>
      </c>
      <c r="AH16" s="13">
        <v>1784</v>
      </c>
      <c r="AI16" s="13">
        <v>1650</v>
      </c>
      <c r="AJ16" s="13">
        <v>1683</v>
      </c>
      <c r="AK16" s="13">
        <v>1729</v>
      </c>
      <c r="AL16" s="13">
        <v>1526</v>
      </c>
      <c r="AM16" s="13">
        <v>1745</v>
      </c>
      <c r="AN16" s="13">
        <v>1688</v>
      </c>
      <c r="AO16" s="13">
        <v>1917</v>
      </c>
      <c r="AP16" s="13">
        <v>1844</v>
      </c>
      <c r="AQ16" s="13">
        <v>1677</v>
      </c>
      <c r="AR16" s="13">
        <v>1616</v>
      </c>
      <c r="AS16" s="13">
        <v>1746</v>
      </c>
      <c r="AT16" s="13">
        <v>1652</v>
      </c>
      <c r="AU16" s="13">
        <v>1672</v>
      </c>
      <c r="AV16" s="13">
        <v>1699</v>
      </c>
      <c r="AW16" s="13">
        <v>1926</v>
      </c>
      <c r="AX16" s="13">
        <v>1933</v>
      </c>
      <c r="AY16" s="13">
        <v>1722</v>
      </c>
      <c r="AZ16" s="13">
        <v>1940</v>
      </c>
      <c r="BA16" s="13">
        <v>2022</v>
      </c>
      <c r="BB16" s="13">
        <v>1673</v>
      </c>
    </row>
    <row r="17" spans="1:54" x14ac:dyDescent="0.2">
      <c r="A17" s="12"/>
      <c r="B17" s="15" t="s">
        <v>191</v>
      </c>
      <c r="C17" s="13">
        <v>9506</v>
      </c>
      <c r="D17" s="13">
        <v>10354</v>
      </c>
      <c r="E17" s="13">
        <v>10264</v>
      </c>
      <c r="F17" s="13">
        <v>11447</v>
      </c>
      <c r="G17" s="13">
        <v>11650</v>
      </c>
      <c r="H17" s="13">
        <v>11317</v>
      </c>
      <c r="I17" s="13">
        <v>10265</v>
      </c>
      <c r="J17" s="13">
        <v>11769</v>
      </c>
      <c r="K17" s="13">
        <v>11454</v>
      </c>
      <c r="L17" s="13">
        <v>12040</v>
      </c>
      <c r="M17" s="13">
        <v>11430</v>
      </c>
      <c r="N17" s="13">
        <v>11839</v>
      </c>
      <c r="O17" s="13">
        <v>11529</v>
      </c>
      <c r="P17" s="13">
        <v>10813</v>
      </c>
      <c r="Q17" s="13">
        <v>11085</v>
      </c>
      <c r="R17" s="13">
        <v>10356</v>
      </c>
      <c r="S17" s="13">
        <v>10735</v>
      </c>
      <c r="T17" s="13">
        <v>10642</v>
      </c>
      <c r="U17" s="13">
        <v>10532</v>
      </c>
      <c r="V17" s="13">
        <v>10989</v>
      </c>
      <c r="W17" s="13">
        <v>11128</v>
      </c>
      <c r="X17" s="13">
        <v>11467</v>
      </c>
      <c r="Y17" s="13">
        <v>10402</v>
      </c>
      <c r="Z17" s="13">
        <v>12050</v>
      </c>
      <c r="AA17" s="13">
        <v>11416</v>
      </c>
      <c r="AB17" s="13">
        <v>12659</v>
      </c>
      <c r="AC17" s="13">
        <v>12369</v>
      </c>
      <c r="AD17" s="13">
        <v>11430</v>
      </c>
      <c r="AE17" s="13">
        <v>12202</v>
      </c>
      <c r="AF17" s="13">
        <v>11652</v>
      </c>
      <c r="AG17" s="13">
        <v>12646</v>
      </c>
      <c r="AH17" s="13">
        <v>11242</v>
      </c>
      <c r="AI17" s="13">
        <v>12346</v>
      </c>
      <c r="AJ17" s="13">
        <v>11957</v>
      </c>
      <c r="AK17" s="13">
        <v>12225</v>
      </c>
      <c r="AL17" s="13">
        <v>10926</v>
      </c>
      <c r="AM17" s="13">
        <v>8309</v>
      </c>
      <c r="AN17" s="13">
        <v>11605</v>
      </c>
      <c r="AO17" s="13">
        <v>12083</v>
      </c>
      <c r="AP17" s="13">
        <v>11791</v>
      </c>
      <c r="AQ17" s="13">
        <v>12158</v>
      </c>
      <c r="AR17" s="13">
        <v>11942</v>
      </c>
      <c r="AS17" s="13">
        <v>13196</v>
      </c>
      <c r="AT17" s="13">
        <v>11651</v>
      </c>
      <c r="AU17" s="13">
        <v>12378</v>
      </c>
      <c r="AV17" s="13">
        <v>11790</v>
      </c>
      <c r="AW17" s="13">
        <v>12170</v>
      </c>
      <c r="AX17" s="13">
        <v>11389</v>
      </c>
      <c r="AY17" s="13">
        <v>10537</v>
      </c>
      <c r="AZ17" s="13">
        <v>10221</v>
      </c>
      <c r="BA17" s="13">
        <v>12476</v>
      </c>
      <c r="BB17" s="13">
        <v>11083</v>
      </c>
    </row>
    <row r="18" spans="1:54" x14ac:dyDescent="0.2">
      <c r="A18" s="12"/>
      <c r="B18" s="15" t="s">
        <v>192</v>
      </c>
      <c r="C18" s="13">
        <v>909</v>
      </c>
      <c r="D18" s="13">
        <v>1036</v>
      </c>
      <c r="E18" s="13">
        <v>1093</v>
      </c>
      <c r="F18" s="13">
        <v>1163</v>
      </c>
      <c r="G18" s="13">
        <v>1068</v>
      </c>
      <c r="H18" s="13">
        <v>978</v>
      </c>
      <c r="I18" s="13">
        <v>1166</v>
      </c>
      <c r="J18" s="13">
        <v>1190</v>
      </c>
      <c r="K18" s="13">
        <v>1046</v>
      </c>
      <c r="L18" s="13">
        <v>1090</v>
      </c>
      <c r="M18" s="13">
        <v>1247</v>
      </c>
      <c r="N18" s="13">
        <v>1121</v>
      </c>
      <c r="O18" s="13">
        <v>1128</v>
      </c>
      <c r="P18" s="13">
        <v>1197</v>
      </c>
      <c r="Q18" s="13">
        <v>1119</v>
      </c>
      <c r="R18" s="13">
        <v>1151</v>
      </c>
      <c r="S18" s="13">
        <v>1175</v>
      </c>
      <c r="T18" s="13">
        <v>1218</v>
      </c>
      <c r="U18" s="13">
        <v>1314</v>
      </c>
      <c r="V18" s="13">
        <v>1128</v>
      </c>
      <c r="W18" s="13">
        <v>1383</v>
      </c>
      <c r="X18" s="13">
        <v>1276</v>
      </c>
      <c r="Y18" s="13">
        <v>1232</v>
      </c>
      <c r="Z18" s="13">
        <v>1299</v>
      </c>
      <c r="AA18" s="13">
        <v>1188</v>
      </c>
      <c r="AB18" s="13">
        <v>1183</v>
      </c>
      <c r="AC18" s="13">
        <v>1136</v>
      </c>
      <c r="AD18" s="13">
        <v>1408</v>
      </c>
      <c r="AE18" s="13">
        <v>1200</v>
      </c>
      <c r="AF18" s="13">
        <v>1209</v>
      </c>
      <c r="AG18" s="13">
        <v>1302</v>
      </c>
      <c r="AH18" s="13">
        <v>1163</v>
      </c>
      <c r="AI18" s="13">
        <v>1217</v>
      </c>
      <c r="AJ18" s="13">
        <v>1229</v>
      </c>
      <c r="AK18" s="13">
        <v>1191</v>
      </c>
      <c r="AL18" s="13">
        <v>1131</v>
      </c>
      <c r="AM18" s="13">
        <v>1120</v>
      </c>
      <c r="AN18" s="13">
        <v>1224</v>
      </c>
      <c r="AO18" s="13">
        <v>1057</v>
      </c>
      <c r="AP18" s="13">
        <v>1340</v>
      </c>
      <c r="AQ18" s="13">
        <v>1174</v>
      </c>
      <c r="AR18" s="13">
        <v>1201</v>
      </c>
      <c r="AS18" s="13">
        <v>1219</v>
      </c>
      <c r="AT18" s="13">
        <v>1089</v>
      </c>
      <c r="AU18" s="13">
        <v>996</v>
      </c>
      <c r="AV18" s="13">
        <v>1102</v>
      </c>
      <c r="AW18" s="13">
        <v>893</v>
      </c>
      <c r="AX18" s="13">
        <v>877</v>
      </c>
      <c r="AY18" s="13">
        <v>936</v>
      </c>
      <c r="AZ18" s="13">
        <v>917</v>
      </c>
      <c r="BA18" s="13">
        <v>1135</v>
      </c>
      <c r="BB18" s="13">
        <v>821</v>
      </c>
    </row>
    <row r="19" spans="1:54" x14ac:dyDescent="0.2">
      <c r="A19" s="12"/>
      <c r="B19" s="15" t="s">
        <v>193</v>
      </c>
      <c r="C19" s="13">
        <v>353</v>
      </c>
      <c r="D19" s="13">
        <v>514</v>
      </c>
      <c r="E19" s="13">
        <v>497</v>
      </c>
      <c r="F19" s="13">
        <v>498</v>
      </c>
      <c r="G19" s="13">
        <v>544</v>
      </c>
      <c r="H19" s="13">
        <v>408</v>
      </c>
      <c r="I19" s="13">
        <v>380</v>
      </c>
      <c r="J19" s="13">
        <v>433</v>
      </c>
      <c r="K19" s="13">
        <v>558</v>
      </c>
      <c r="L19" s="13">
        <v>427</v>
      </c>
      <c r="M19" s="13">
        <v>407</v>
      </c>
      <c r="N19" s="13">
        <v>525</v>
      </c>
      <c r="O19" s="13">
        <v>504</v>
      </c>
      <c r="P19" s="13">
        <v>481</v>
      </c>
      <c r="Q19" s="13">
        <v>466</v>
      </c>
      <c r="R19" s="13">
        <v>521</v>
      </c>
      <c r="S19" s="13">
        <v>613</v>
      </c>
      <c r="T19" s="13">
        <v>573</v>
      </c>
      <c r="U19" s="13">
        <v>522</v>
      </c>
      <c r="V19" s="13">
        <v>605</v>
      </c>
      <c r="W19" s="13">
        <v>566</v>
      </c>
      <c r="X19" s="13">
        <v>520</v>
      </c>
      <c r="Y19" s="13">
        <v>618</v>
      </c>
      <c r="Z19" s="13">
        <v>557</v>
      </c>
      <c r="AA19" s="13">
        <v>587</v>
      </c>
      <c r="AB19" s="13">
        <v>485</v>
      </c>
      <c r="AC19" s="13">
        <v>397</v>
      </c>
      <c r="AD19" s="13">
        <v>495</v>
      </c>
      <c r="AE19" s="13">
        <v>580</v>
      </c>
      <c r="AF19" s="13">
        <v>650</v>
      </c>
      <c r="AG19" s="13">
        <v>480</v>
      </c>
      <c r="AH19" s="13">
        <v>504</v>
      </c>
      <c r="AI19" s="13">
        <v>546</v>
      </c>
      <c r="AJ19" s="13">
        <v>489</v>
      </c>
      <c r="AK19" s="13">
        <v>588</v>
      </c>
      <c r="AL19" s="13">
        <v>425</v>
      </c>
      <c r="AM19" s="13">
        <v>506</v>
      </c>
      <c r="AN19" s="13">
        <v>516</v>
      </c>
      <c r="AO19" s="13">
        <v>524</v>
      </c>
      <c r="AP19" s="13">
        <v>489</v>
      </c>
      <c r="AQ19" s="13">
        <v>548</v>
      </c>
      <c r="AR19" s="13">
        <v>604</v>
      </c>
      <c r="AS19" s="13">
        <v>562</v>
      </c>
      <c r="AT19" s="13">
        <v>579</v>
      </c>
      <c r="AU19" s="13">
        <v>512</v>
      </c>
      <c r="AV19" s="13">
        <v>566</v>
      </c>
      <c r="AW19" s="13">
        <v>564</v>
      </c>
      <c r="AX19" s="13">
        <v>563</v>
      </c>
      <c r="AY19" s="13">
        <v>519</v>
      </c>
      <c r="AZ19" s="13">
        <v>650</v>
      </c>
      <c r="BA19" s="13">
        <v>633</v>
      </c>
      <c r="BB19" s="13">
        <v>270</v>
      </c>
    </row>
    <row r="20" spans="1:54" x14ac:dyDescent="0.2">
      <c r="B20" s="12" t="s">
        <v>194</v>
      </c>
      <c r="C20" s="13">
        <v>129</v>
      </c>
      <c r="D20" s="13">
        <v>143</v>
      </c>
      <c r="E20" s="13">
        <v>203</v>
      </c>
      <c r="F20" s="13">
        <v>192</v>
      </c>
      <c r="G20" s="13">
        <v>167</v>
      </c>
      <c r="H20" s="13">
        <v>154</v>
      </c>
      <c r="I20" s="13">
        <v>163</v>
      </c>
      <c r="J20" s="13">
        <v>214</v>
      </c>
      <c r="K20" s="13">
        <v>188</v>
      </c>
      <c r="L20" s="13">
        <v>229</v>
      </c>
      <c r="M20" s="13">
        <v>201</v>
      </c>
      <c r="N20" s="13">
        <v>188</v>
      </c>
      <c r="O20" s="13">
        <v>172</v>
      </c>
      <c r="P20" s="13">
        <v>212</v>
      </c>
      <c r="Q20" s="13">
        <v>253</v>
      </c>
      <c r="R20" s="13">
        <v>263</v>
      </c>
      <c r="S20" s="13">
        <v>244</v>
      </c>
      <c r="T20" s="13">
        <v>235</v>
      </c>
      <c r="U20" s="13">
        <v>199</v>
      </c>
      <c r="V20" s="13">
        <v>213</v>
      </c>
      <c r="W20" s="13">
        <v>203</v>
      </c>
      <c r="X20" s="13">
        <v>240</v>
      </c>
      <c r="Y20" s="13">
        <v>169</v>
      </c>
      <c r="Z20" s="13">
        <v>205</v>
      </c>
      <c r="AA20" s="13">
        <v>186</v>
      </c>
      <c r="AB20" s="13">
        <v>181</v>
      </c>
      <c r="AC20" s="13">
        <v>155</v>
      </c>
      <c r="AD20" s="13">
        <v>182</v>
      </c>
      <c r="AE20" s="13">
        <v>164</v>
      </c>
      <c r="AF20" s="13">
        <v>183</v>
      </c>
      <c r="AG20" s="13">
        <v>204</v>
      </c>
      <c r="AH20" s="13">
        <v>180</v>
      </c>
      <c r="AI20" s="13">
        <v>200</v>
      </c>
      <c r="AJ20" s="13">
        <v>199</v>
      </c>
      <c r="AK20" s="13">
        <v>183</v>
      </c>
      <c r="AL20" s="13">
        <v>150</v>
      </c>
      <c r="AM20" s="13">
        <v>165</v>
      </c>
      <c r="AN20" s="13">
        <v>213</v>
      </c>
      <c r="AO20" s="13">
        <v>199</v>
      </c>
      <c r="AP20" s="13">
        <v>169</v>
      </c>
      <c r="AQ20" s="13">
        <v>162</v>
      </c>
      <c r="AR20" s="13">
        <v>143</v>
      </c>
      <c r="AS20" s="13">
        <v>167</v>
      </c>
      <c r="AT20" s="13">
        <v>194</v>
      </c>
      <c r="AU20" s="13">
        <v>208</v>
      </c>
      <c r="AV20" s="13">
        <v>187</v>
      </c>
      <c r="AW20" s="13">
        <v>172</v>
      </c>
      <c r="AX20" s="13">
        <v>176</v>
      </c>
      <c r="AY20" s="13">
        <v>174</v>
      </c>
      <c r="AZ20" s="13">
        <v>183</v>
      </c>
      <c r="BA20" s="13">
        <v>175</v>
      </c>
      <c r="BB20" s="13">
        <v>116</v>
      </c>
    </row>
    <row r="22" spans="1:54" x14ac:dyDescent="0.2">
      <c r="A22" s="9" t="s">
        <v>195</v>
      </c>
      <c r="C22" s="5">
        <v>1577</v>
      </c>
      <c r="D22" s="5">
        <v>1377</v>
      </c>
      <c r="E22" s="5">
        <v>1249</v>
      </c>
      <c r="F22" s="5">
        <v>1809</v>
      </c>
      <c r="G22" s="5">
        <v>1555</v>
      </c>
      <c r="H22" s="5">
        <v>1247</v>
      </c>
      <c r="I22" s="5">
        <v>1774</v>
      </c>
      <c r="J22" s="5">
        <v>1974</v>
      </c>
      <c r="K22" s="5">
        <v>1824</v>
      </c>
      <c r="L22" s="5">
        <v>1712</v>
      </c>
      <c r="M22" s="5">
        <v>1590</v>
      </c>
      <c r="N22" s="5">
        <v>2197</v>
      </c>
      <c r="O22" s="5">
        <v>1795</v>
      </c>
      <c r="P22" s="5">
        <v>1884</v>
      </c>
      <c r="Q22" s="5">
        <v>1535</v>
      </c>
      <c r="R22" s="5">
        <v>1717</v>
      </c>
      <c r="S22" s="5">
        <v>1629</v>
      </c>
      <c r="T22" s="5">
        <v>1369</v>
      </c>
      <c r="U22" s="5">
        <v>1759</v>
      </c>
      <c r="V22" s="5">
        <v>1593</v>
      </c>
      <c r="W22" s="5">
        <v>1995</v>
      </c>
      <c r="X22" s="5">
        <v>1929</v>
      </c>
      <c r="Y22" s="5">
        <v>1794</v>
      </c>
      <c r="Z22" s="5">
        <v>1938</v>
      </c>
      <c r="AA22" s="5">
        <v>1961</v>
      </c>
      <c r="AB22" s="5">
        <v>1822</v>
      </c>
      <c r="AC22" s="5">
        <v>1759</v>
      </c>
      <c r="AD22" s="5">
        <v>1756</v>
      </c>
      <c r="AE22" s="5">
        <v>1649</v>
      </c>
      <c r="AF22" s="5">
        <v>1710</v>
      </c>
      <c r="AG22" s="5">
        <v>1761</v>
      </c>
      <c r="AH22" s="5">
        <v>1514</v>
      </c>
      <c r="AI22" s="5">
        <v>1647</v>
      </c>
      <c r="AJ22" s="5">
        <v>1635</v>
      </c>
      <c r="AK22" s="5">
        <v>1782</v>
      </c>
      <c r="AL22" s="5">
        <v>1472</v>
      </c>
      <c r="AM22" s="5">
        <v>1772</v>
      </c>
      <c r="AN22" s="5">
        <v>1834</v>
      </c>
      <c r="AO22" s="5">
        <v>1731</v>
      </c>
      <c r="AP22" s="5">
        <v>2091</v>
      </c>
      <c r="AQ22" s="5">
        <v>2016</v>
      </c>
      <c r="AR22" s="5">
        <v>2012</v>
      </c>
      <c r="AS22" s="5">
        <v>2217</v>
      </c>
      <c r="AT22" s="5">
        <v>1875</v>
      </c>
      <c r="AU22" s="5">
        <v>1798</v>
      </c>
      <c r="AV22" s="5">
        <v>1751</v>
      </c>
      <c r="AW22" s="5">
        <v>1816</v>
      </c>
      <c r="AX22" s="5">
        <v>1821</v>
      </c>
      <c r="AY22" s="5">
        <v>1663</v>
      </c>
      <c r="AZ22" s="5">
        <v>2258</v>
      </c>
      <c r="BA22" s="5">
        <v>2045</v>
      </c>
      <c r="BB22" s="5">
        <v>1199</v>
      </c>
    </row>
    <row r="23" spans="1:54" x14ac:dyDescent="0.2">
      <c r="A23" s="12"/>
      <c r="B23" s="15"/>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row>
    <row r="24" spans="1:54" x14ac:dyDescent="0.2">
      <c r="A24" s="9" t="s">
        <v>196</v>
      </c>
      <c r="C24" s="5">
        <v>3397</v>
      </c>
      <c r="D24" s="5">
        <v>4273</v>
      </c>
      <c r="E24" s="5">
        <v>4184</v>
      </c>
      <c r="F24" s="5">
        <v>4895</v>
      </c>
      <c r="G24" s="5">
        <v>4902</v>
      </c>
      <c r="H24" s="5">
        <v>4270</v>
      </c>
      <c r="I24" s="5">
        <v>5192</v>
      </c>
      <c r="J24" s="5">
        <v>5586</v>
      </c>
      <c r="K24" s="5">
        <v>5421</v>
      </c>
      <c r="L24" s="5">
        <v>5099</v>
      </c>
      <c r="M24" s="5">
        <v>5812</v>
      </c>
      <c r="N24" s="5">
        <v>5794</v>
      </c>
      <c r="O24" s="5">
        <v>5380</v>
      </c>
      <c r="P24" s="5">
        <v>5498</v>
      </c>
      <c r="Q24" s="5">
        <v>5632</v>
      </c>
      <c r="R24" s="5">
        <v>5544</v>
      </c>
      <c r="S24" s="5">
        <v>5917</v>
      </c>
      <c r="T24" s="5">
        <v>5684</v>
      </c>
      <c r="U24" s="5">
        <v>5633</v>
      </c>
      <c r="V24" s="5">
        <v>5532</v>
      </c>
      <c r="W24" s="5">
        <v>5135</v>
      </c>
      <c r="X24" s="5">
        <v>5043</v>
      </c>
      <c r="Y24" s="5">
        <v>5482</v>
      </c>
      <c r="Z24" s="5">
        <v>5898</v>
      </c>
      <c r="AA24" s="5">
        <v>5506</v>
      </c>
      <c r="AB24" s="5">
        <v>5531</v>
      </c>
      <c r="AC24" s="5">
        <v>3988</v>
      </c>
      <c r="AD24" s="5">
        <v>4326</v>
      </c>
      <c r="AE24" s="5">
        <v>4658</v>
      </c>
      <c r="AF24" s="5">
        <v>4925</v>
      </c>
      <c r="AG24" s="5">
        <v>4804</v>
      </c>
      <c r="AH24" s="5">
        <v>4599</v>
      </c>
      <c r="AI24" s="5">
        <v>4901</v>
      </c>
      <c r="AJ24" s="5">
        <v>4931</v>
      </c>
      <c r="AK24" s="5">
        <v>4827</v>
      </c>
      <c r="AL24" s="5">
        <v>4389</v>
      </c>
      <c r="AM24" s="5">
        <v>4660</v>
      </c>
      <c r="AN24" s="5">
        <v>4755</v>
      </c>
      <c r="AO24" s="5">
        <v>5031</v>
      </c>
      <c r="AP24" s="5">
        <v>4984</v>
      </c>
      <c r="AQ24" s="5">
        <v>4841</v>
      </c>
      <c r="AR24" s="5">
        <v>5286</v>
      </c>
      <c r="AS24" s="5">
        <v>5184</v>
      </c>
      <c r="AT24" s="5">
        <v>4847</v>
      </c>
      <c r="AU24" s="5">
        <v>5160</v>
      </c>
      <c r="AV24" s="5">
        <v>5065</v>
      </c>
      <c r="AW24" s="5">
        <v>5178</v>
      </c>
      <c r="AX24" s="5">
        <v>5645</v>
      </c>
      <c r="AY24" s="5">
        <v>5239</v>
      </c>
      <c r="AZ24" s="5">
        <v>5902</v>
      </c>
      <c r="BA24" s="5">
        <v>4964</v>
      </c>
      <c r="BB24" s="5">
        <v>3060</v>
      </c>
    </row>
    <row r="25" spans="1:54" x14ac:dyDescent="0.2">
      <c r="A25" s="12"/>
      <c r="B25" s="15"/>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row>
    <row r="26" spans="1:54" x14ac:dyDescent="0.2">
      <c r="A26" s="18" t="s">
        <v>197</v>
      </c>
      <c r="B26" s="19"/>
      <c r="C26" s="20">
        <v>39935</v>
      </c>
      <c r="D26" s="20">
        <v>44429</v>
      </c>
      <c r="E26" s="20">
        <v>43322</v>
      </c>
      <c r="F26" s="20">
        <v>48819</v>
      </c>
      <c r="G26" s="20">
        <v>47925</v>
      </c>
      <c r="H26" s="20">
        <v>44499</v>
      </c>
      <c r="I26" s="20">
        <v>44620</v>
      </c>
      <c r="J26" s="20">
        <v>48035</v>
      </c>
      <c r="K26" s="20">
        <v>49661</v>
      </c>
      <c r="L26" s="20">
        <v>47906</v>
      </c>
      <c r="M26" s="20">
        <v>48274</v>
      </c>
      <c r="N26" s="20">
        <v>50773</v>
      </c>
      <c r="O26" s="20">
        <v>48950</v>
      </c>
      <c r="P26" s="20">
        <v>48723</v>
      </c>
      <c r="Q26" s="20">
        <v>48998</v>
      </c>
      <c r="R26" s="20">
        <v>48293</v>
      </c>
      <c r="S26" s="20">
        <v>50464</v>
      </c>
      <c r="T26" s="20">
        <v>49568</v>
      </c>
      <c r="U26" s="20">
        <v>49749</v>
      </c>
      <c r="V26" s="20">
        <v>50497</v>
      </c>
      <c r="W26" s="20">
        <v>50310</v>
      </c>
      <c r="X26" s="20">
        <v>51023</v>
      </c>
      <c r="Y26" s="20">
        <v>49765</v>
      </c>
      <c r="Z26" s="20">
        <v>50923</v>
      </c>
      <c r="AA26" s="20">
        <v>49438</v>
      </c>
      <c r="AB26" s="20">
        <v>51045</v>
      </c>
      <c r="AC26" s="20">
        <v>46764</v>
      </c>
      <c r="AD26" s="20">
        <v>48618</v>
      </c>
      <c r="AE26" s="20">
        <v>48628</v>
      </c>
      <c r="AF26" s="20">
        <v>50069</v>
      </c>
      <c r="AG26" s="20">
        <v>50605</v>
      </c>
      <c r="AH26" s="20">
        <v>48594</v>
      </c>
      <c r="AI26" s="20">
        <v>50116</v>
      </c>
      <c r="AJ26" s="20">
        <v>49016</v>
      </c>
      <c r="AK26" s="20">
        <v>51615</v>
      </c>
      <c r="AL26" s="20">
        <v>47333</v>
      </c>
      <c r="AM26" s="20">
        <v>45280</v>
      </c>
      <c r="AN26" s="20">
        <v>49559</v>
      </c>
      <c r="AO26" s="20">
        <v>50476</v>
      </c>
      <c r="AP26" s="20">
        <v>49707</v>
      </c>
      <c r="AQ26" s="20">
        <v>49813</v>
      </c>
      <c r="AR26" s="20">
        <v>51239</v>
      </c>
      <c r="AS26" s="20">
        <v>52682</v>
      </c>
      <c r="AT26" s="20">
        <v>50063</v>
      </c>
      <c r="AU26" s="20">
        <v>50652</v>
      </c>
      <c r="AV26" s="20">
        <v>49233</v>
      </c>
      <c r="AW26" s="20">
        <v>49807</v>
      </c>
      <c r="AX26" s="20">
        <v>51179</v>
      </c>
      <c r="AY26" s="20">
        <v>47637</v>
      </c>
      <c r="AZ26" s="20">
        <v>49718</v>
      </c>
      <c r="BA26" s="20">
        <v>51696</v>
      </c>
      <c r="BB26" s="20">
        <v>41260</v>
      </c>
    </row>
    <row r="27" spans="1:54" x14ac:dyDescent="0.2">
      <c r="A27" s="12"/>
      <c r="B27" s="15"/>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row>
    <row r="28" spans="1:54" x14ac:dyDescent="0.2">
      <c r="A28" s="9" t="s">
        <v>198</v>
      </c>
      <c r="B28" s="12"/>
      <c r="C28" s="11">
        <v>5997</v>
      </c>
      <c r="D28" s="11">
        <v>7205</v>
      </c>
      <c r="E28" s="11">
        <v>5762</v>
      </c>
      <c r="F28" s="11">
        <v>6402</v>
      </c>
      <c r="G28" s="11">
        <v>6964</v>
      </c>
      <c r="H28" s="11">
        <v>5901</v>
      </c>
      <c r="I28" s="11">
        <v>4923</v>
      </c>
      <c r="J28" s="11">
        <v>5249</v>
      </c>
      <c r="K28" s="11">
        <v>6091</v>
      </c>
      <c r="L28" s="11">
        <v>7677</v>
      </c>
      <c r="M28" s="11">
        <v>5755</v>
      </c>
      <c r="N28" s="11">
        <v>6125</v>
      </c>
      <c r="O28" s="11">
        <v>6568</v>
      </c>
      <c r="P28" s="11">
        <v>7678</v>
      </c>
      <c r="Q28" s="11">
        <v>7765</v>
      </c>
      <c r="R28" s="11">
        <v>7114</v>
      </c>
      <c r="S28" s="11">
        <v>7467</v>
      </c>
      <c r="T28" s="11">
        <v>6483</v>
      </c>
      <c r="U28" s="11">
        <v>6824</v>
      </c>
      <c r="V28" s="11">
        <v>6162</v>
      </c>
      <c r="W28" s="11">
        <v>5254</v>
      </c>
      <c r="X28" s="11">
        <v>6042</v>
      </c>
      <c r="Y28" s="11">
        <v>5800</v>
      </c>
      <c r="Z28" s="11">
        <v>6987</v>
      </c>
      <c r="AA28" s="11">
        <v>5827</v>
      </c>
      <c r="AB28" s="11">
        <v>6473</v>
      </c>
      <c r="AC28" s="11">
        <v>5501</v>
      </c>
      <c r="AD28" s="11">
        <v>5621</v>
      </c>
      <c r="AE28" s="11">
        <v>5994</v>
      </c>
      <c r="AF28" s="11">
        <v>6718</v>
      </c>
      <c r="AG28" s="11">
        <v>6634</v>
      </c>
      <c r="AH28" s="11">
        <v>6410</v>
      </c>
      <c r="AI28" s="11">
        <v>6657</v>
      </c>
      <c r="AJ28" s="11">
        <v>6850</v>
      </c>
      <c r="AK28" s="11">
        <v>6835</v>
      </c>
      <c r="AL28" s="11">
        <v>6836</v>
      </c>
      <c r="AM28" s="11">
        <v>6896</v>
      </c>
      <c r="AN28" s="11">
        <v>6373</v>
      </c>
      <c r="AO28" s="11">
        <v>7485</v>
      </c>
      <c r="AP28" s="11">
        <v>7283</v>
      </c>
      <c r="AQ28" s="11">
        <v>6244</v>
      </c>
      <c r="AR28" s="11">
        <v>7163</v>
      </c>
      <c r="AS28" s="11">
        <v>7586</v>
      </c>
      <c r="AT28" s="11">
        <v>8088</v>
      </c>
      <c r="AU28" s="11">
        <v>7454</v>
      </c>
      <c r="AV28" s="11">
        <v>7276</v>
      </c>
      <c r="AW28" s="11">
        <v>6802</v>
      </c>
      <c r="AX28" s="11">
        <v>7117</v>
      </c>
      <c r="AY28" s="11">
        <v>7931</v>
      </c>
      <c r="AZ28" s="11">
        <v>6629</v>
      </c>
      <c r="BA28" s="11">
        <v>7349</v>
      </c>
      <c r="BB28" s="11">
        <v>6689</v>
      </c>
    </row>
    <row r="29" spans="1:54" x14ac:dyDescent="0.2">
      <c r="A29" s="12"/>
      <c r="B29" s="12" t="s">
        <v>198</v>
      </c>
      <c r="C29" s="13">
        <v>5123</v>
      </c>
      <c r="D29" s="13">
        <v>4833</v>
      </c>
      <c r="E29" s="13">
        <v>5109</v>
      </c>
      <c r="F29" s="13">
        <v>5339</v>
      </c>
      <c r="G29" s="13">
        <v>5733</v>
      </c>
      <c r="H29" s="13">
        <v>4978</v>
      </c>
      <c r="I29" s="13">
        <v>4132</v>
      </c>
      <c r="J29" s="13">
        <v>4682</v>
      </c>
      <c r="K29" s="13">
        <v>4767</v>
      </c>
      <c r="L29" s="13">
        <v>5853</v>
      </c>
      <c r="M29" s="13">
        <v>5151</v>
      </c>
      <c r="N29" s="13">
        <v>5521</v>
      </c>
      <c r="O29" s="13">
        <v>5391</v>
      </c>
      <c r="P29" s="13">
        <v>6131</v>
      </c>
      <c r="Q29" s="13">
        <v>6006</v>
      </c>
      <c r="R29" s="13">
        <v>5833</v>
      </c>
      <c r="S29" s="13">
        <v>6013</v>
      </c>
      <c r="T29" s="13">
        <v>5032</v>
      </c>
      <c r="U29" s="13">
        <v>5176</v>
      </c>
      <c r="V29" s="13">
        <v>5054</v>
      </c>
      <c r="W29" s="13">
        <v>3894</v>
      </c>
      <c r="X29" s="13">
        <v>4771</v>
      </c>
      <c r="Y29" s="13">
        <v>4483</v>
      </c>
      <c r="Z29" s="13">
        <v>5240</v>
      </c>
      <c r="AA29" s="13">
        <v>4539</v>
      </c>
      <c r="AB29" s="13">
        <v>4970</v>
      </c>
      <c r="AC29" s="13">
        <v>4636</v>
      </c>
      <c r="AD29" s="13">
        <v>4745</v>
      </c>
      <c r="AE29" s="13">
        <v>4924</v>
      </c>
      <c r="AF29" s="13">
        <v>5362</v>
      </c>
      <c r="AG29" s="13">
        <v>5041</v>
      </c>
      <c r="AH29" s="13">
        <v>5010</v>
      </c>
      <c r="AI29" s="13">
        <v>5198</v>
      </c>
      <c r="AJ29" s="13">
        <v>5397</v>
      </c>
      <c r="AK29" s="13">
        <v>5399</v>
      </c>
      <c r="AL29" s="13">
        <v>5406</v>
      </c>
      <c r="AM29" s="13">
        <v>5540</v>
      </c>
      <c r="AN29" s="13">
        <v>5658</v>
      </c>
      <c r="AO29" s="13">
        <v>6077</v>
      </c>
      <c r="AP29" s="13">
        <v>5970</v>
      </c>
      <c r="AQ29" s="13">
        <v>5045</v>
      </c>
      <c r="AR29" s="13">
        <v>5914</v>
      </c>
      <c r="AS29" s="13">
        <v>6443</v>
      </c>
      <c r="AT29" s="13">
        <v>6551</v>
      </c>
      <c r="AU29" s="13">
        <v>6227</v>
      </c>
      <c r="AV29" s="13">
        <v>6001</v>
      </c>
      <c r="AW29" s="13">
        <v>5846</v>
      </c>
      <c r="AX29" s="13">
        <v>5623</v>
      </c>
      <c r="AY29" s="13">
        <v>6625</v>
      </c>
      <c r="AZ29" s="13">
        <v>5338</v>
      </c>
      <c r="BA29" s="13">
        <v>6292</v>
      </c>
      <c r="BB29" s="13">
        <v>5678</v>
      </c>
    </row>
    <row r="30" spans="1:54" x14ac:dyDescent="0.2">
      <c r="A30" s="12"/>
      <c r="B30" s="15" t="s">
        <v>199</v>
      </c>
      <c r="C30" s="13">
        <v>874</v>
      </c>
      <c r="D30" s="13">
        <v>2372</v>
      </c>
      <c r="E30" s="13">
        <v>653</v>
      </c>
      <c r="F30" s="13">
        <v>1063</v>
      </c>
      <c r="G30" s="13">
        <v>1231</v>
      </c>
      <c r="H30" s="13">
        <v>923</v>
      </c>
      <c r="I30" s="13">
        <v>791</v>
      </c>
      <c r="J30" s="13">
        <v>567</v>
      </c>
      <c r="K30" s="13">
        <v>1324</v>
      </c>
      <c r="L30" s="13">
        <v>1824</v>
      </c>
      <c r="M30" s="13">
        <v>604</v>
      </c>
      <c r="N30" s="13">
        <v>604</v>
      </c>
      <c r="O30" s="13">
        <v>1177</v>
      </c>
      <c r="P30" s="13">
        <v>1547</v>
      </c>
      <c r="Q30" s="13">
        <v>1759</v>
      </c>
      <c r="R30" s="13">
        <v>1281</v>
      </c>
      <c r="S30" s="13">
        <v>1454</v>
      </c>
      <c r="T30" s="13">
        <v>1451</v>
      </c>
      <c r="U30" s="13">
        <v>1648</v>
      </c>
      <c r="V30" s="13">
        <v>1108</v>
      </c>
      <c r="W30" s="13">
        <v>1360</v>
      </c>
      <c r="X30" s="13">
        <v>1271</v>
      </c>
      <c r="Y30" s="13">
        <v>1317</v>
      </c>
      <c r="Z30" s="13">
        <v>1747</v>
      </c>
      <c r="AA30" s="13">
        <v>1288</v>
      </c>
      <c r="AB30" s="13">
        <v>1503</v>
      </c>
      <c r="AC30" s="13">
        <v>865</v>
      </c>
      <c r="AD30" s="13">
        <v>876</v>
      </c>
      <c r="AE30" s="13">
        <v>1070</v>
      </c>
      <c r="AF30" s="13">
        <v>1356</v>
      </c>
      <c r="AG30" s="13">
        <v>1593</v>
      </c>
      <c r="AH30" s="13">
        <v>1400</v>
      </c>
      <c r="AI30" s="13">
        <v>1459</v>
      </c>
      <c r="AJ30" s="13">
        <v>1453</v>
      </c>
      <c r="AK30" s="13">
        <v>1436</v>
      </c>
      <c r="AL30" s="13">
        <v>1430</v>
      </c>
      <c r="AM30" s="13">
        <v>1356</v>
      </c>
      <c r="AN30" s="13">
        <v>715</v>
      </c>
      <c r="AO30" s="13">
        <v>1408</v>
      </c>
      <c r="AP30" s="13">
        <v>1313</v>
      </c>
      <c r="AQ30" s="13">
        <v>1199</v>
      </c>
      <c r="AR30" s="13">
        <v>1249</v>
      </c>
      <c r="AS30" s="13">
        <v>1143</v>
      </c>
      <c r="AT30" s="13">
        <v>1537</v>
      </c>
      <c r="AU30" s="13">
        <v>1227</v>
      </c>
      <c r="AV30" s="13">
        <v>1275</v>
      </c>
      <c r="AW30" s="13">
        <v>956</v>
      </c>
      <c r="AX30" s="13">
        <v>1494</v>
      </c>
      <c r="AY30" s="13">
        <v>1306</v>
      </c>
      <c r="AZ30" s="13">
        <v>1291</v>
      </c>
      <c r="BA30" s="13">
        <v>1057</v>
      </c>
      <c r="BB30" s="13">
        <v>1011</v>
      </c>
    </row>
    <row r="31" spans="1:54" x14ac:dyDescent="0.2">
      <c r="A31" s="12"/>
      <c r="B31" s="15"/>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row>
    <row r="32" spans="1:54" x14ac:dyDescent="0.2">
      <c r="A32" s="16" t="s">
        <v>200</v>
      </c>
      <c r="B32" s="12"/>
      <c r="C32" s="11">
        <v>6012</v>
      </c>
      <c r="D32" s="11">
        <v>6424</v>
      </c>
      <c r="E32" s="11">
        <v>8300</v>
      </c>
      <c r="F32" s="11">
        <v>6478</v>
      </c>
      <c r="G32" s="11">
        <v>6954</v>
      </c>
      <c r="H32" s="11">
        <v>5798</v>
      </c>
      <c r="I32" s="11">
        <v>4799</v>
      </c>
      <c r="J32" s="11">
        <v>5824</v>
      </c>
      <c r="K32" s="11">
        <v>6791</v>
      </c>
      <c r="L32" s="11">
        <v>7194</v>
      </c>
      <c r="M32" s="11">
        <v>7324</v>
      </c>
      <c r="N32" s="11">
        <v>7660</v>
      </c>
      <c r="O32" s="11">
        <v>7494</v>
      </c>
      <c r="P32" s="11">
        <v>8775</v>
      </c>
      <c r="Q32" s="11">
        <v>7860</v>
      </c>
      <c r="R32" s="11">
        <v>7848</v>
      </c>
      <c r="S32" s="11">
        <v>7992</v>
      </c>
      <c r="T32" s="11">
        <v>8155</v>
      </c>
      <c r="U32" s="11">
        <v>7249</v>
      </c>
      <c r="V32" s="11">
        <v>7508</v>
      </c>
      <c r="W32" s="11">
        <v>7154</v>
      </c>
      <c r="X32" s="11">
        <v>6582</v>
      </c>
      <c r="Y32" s="11">
        <v>6993</v>
      </c>
      <c r="Z32" s="11">
        <v>6912</v>
      </c>
      <c r="AA32" s="11">
        <v>6832</v>
      </c>
      <c r="AB32" s="11">
        <v>6854</v>
      </c>
      <c r="AC32" s="11">
        <v>6438</v>
      </c>
      <c r="AD32" s="11">
        <v>6603</v>
      </c>
      <c r="AE32" s="11">
        <v>6968</v>
      </c>
      <c r="AF32" s="11">
        <v>6224</v>
      </c>
      <c r="AG32" s="11">
        <v>7355</v>
      </c>
      <c r="AH32" s="11">
        <v>7036</v>
      </c>
      <c r="AI32" s="11">
        <v>6749</v>
      </c>
      <c r="AJ32" s="11">
        <v>7873</v>
      </c>
      <c r="AK32" s="11">
        <v>7669</v>
      </c>
      <c r="AL32" s="11">
        <v>7696</v>
      </c>
      <c r="AM32" s="11">
        <v>8127</v>
      </c>
      <c r="AN32" s="11">
        <v>8194</v>
      </c>
      <c r="AO32" s="11">
        <v>8397</v>
      </c>
      <c r="AP32" s="11">
        <v>8574</v>
      </c>
      <c r="AQ32" s="11">
        <v>9221</v>
      </c>
      <c r="AR32" s="11">
        <v>8164</v>
      </c>
      <c r="AS32" s="11">
        <v>9164</v>
      </c>
      <c r="AT32" s="11">
        <v>8169</v>
      </c>
      <c r="AU32" s="11">
        <v>8116</v>
      </c>
      <c r="AV32" s="11">
        <v>9039</v>
      </c>
      <c r="AW32" s="11">
        <v>8223</v>
      </c>
      <c r="AX32" s="11">
        <v>8121</v>
      </c>
      <c r="AY32" s="11">
        <v>7117</v>
      </c>
      <c r="AZ32" s="11">
        <v>7430</v>
      </c>
      <c r="BA32" s="11">
        <v>8009</v>
      </c>
      <c r="BB32" s="11">
        <v>7378</v>
      </c>
    </row>
    <row r="33" spans="1:54" x14ac:dyDescent="0.2">
      <c r="A33" s="12"/>
      <c r="B33" s="15" t="s">
        <v>201</v>
      </c>
      <c r="C33" s="13">
        <v>1779</v>
      </c>
      <c r="D33" s="13">
        <v>1081</v>
      </c>
      <c r="E33" s="13">
        <v>2043</v>
      </c>
      <c r="F33" s="13">
        <v>1485</v>
      </c>
      <c r="G33" s="13">
        <v>1428</v>
      </c>
      <c r="H33" s="13">
        <v>1335</v>
      </c>
      <c r="I33" s="13">
        <v>730</v>
      </c>
      <c r="J33" s="13">
        <v>1307</v>
      </c>
      <c r="K33" s="13">
        <v>1556</v>
      </c>
      <c r="L33" s="13">
        <v>1912</v>
      </c>
      <c r="M33" s="13">
        <v>1835</v>
      </c>
      <c r="N33" s="13">
        <v>2028</v>
      </c>
      <c r="O33" s="13">
        <v>2215</v>
      </c>
      <c r="P33" s="13">
        <v>2566</v>
      </c>
      <c r="Q33" s="13">
        <v>2556</v>
      </c>
      <c r="R33" s="13">
        <v>1908</v>
      </c>
      <c r="S33" s="13">
        <v>2398</v>
      </c>
      <c r="T33" s="13">
        <v>2279</v>
      </c>
      <c r="U33" s="13">
        <v>1648</v>
      </c>
      <c r="V33" s="13">
        <v>1537</v>
      </c>
      <c r="W33" s="13">
        <v>1354</v>
      </c>
      <c r="X33" s="13">
        <v>1626</v>
      </c>
      <c r="Y33" s="13">
        <v>1775</v>
      </c>
      <c r="Z33" s="13">
        <v>1589</v>
      </c>
      <c r="AA33" s="13">
        <v>2100</v>
      </c>
      <c r="AB33" s="13">
        <v>1489</v>
      </c>
      <c r="AC33" s="13">
        <v>1373</v>
      </c>
      <c r="AD33" s="13">
        <v>1679</v>
      </c>
      <c r="AE33" s="13">
        <v>1218</v>
      </c>
      <c r="AF33" s="13">
        <v>1177</v>
      </c>
      <c r="AG33" s="13">
        <v>1402</v>
      </c>
      <c r="AH33" s="13">
        <v>1063</v>
      </c>
      <c r="AI33" s="13">
        <v>1571</v>
      </c>
      <c r="AJ33" s="13">
        <v>1144</v>
      </c>
      <c r="AK33" s="13">
        <v>1066</v>
      </c>
      <c r="AL33" s="13">
        <v>1849</v>
      </c>
      <c r="AM33" s="13">
        <v>1744</v>
      </c>
      <c r="AN33" s="13">
        <v>1648</v>
      </c>
      <c r="AO33" s="13">
        <v>1937</v>
      </c>
      <c r="AP33" s="13">
        <v>2117</v>
      </c>
      <c r="AQ33" s="13">
        <v>3055</v>
      </c>
      <c r="AR33" s="13">
        <v>2259</v>
      </c>
      <c r="AS33" s="13">
        <v>2540</v>
      </c>
      <c r="AT33" s="13">
        <v>1922</v>
      </c>
      <c r="AU33" s="13">
        <v>1943</v>
      </c>
      <c r="AV33" s="13">
        <v>2230</v>
      </c>
      <c r="AW33" s="13">
        <v>2055</v>
      </c>
      <c r="AX33" s="13">
        <v>2755</v>
      </c>
      <c r="AY33" s="13">
        <v>1653</v>
      </c>
      <c r="AZ33" s="13">
        <v>1705</v>
      </c>
      <c r="BA33" s="13">
        <v>2626</v>
      </c>
      <c r="BB33" s="13">
        <v>1929</v>
      </c>
    </row>
    <row r="34" spans="1:54" x14ac:dyDescent="0.2">
      <c r="A34" s="12"/>
      <c r="B34" s="15" t="s">
        <v>200</v>
      </c>
      <c r="C34" s="13">
        <v>3017</v>
      </c>
      <c r="D34" s="13">
        <v>3973</v>
      </c>
      <c r="E34" s="13">
        <v>4654</v>
      </c>
      <c r="F34" s="13">
        <v>3692</v>
      </c>
      <c r="G34" s="13">
        <v>4110</v>
      </c>
      <c r="H34" s="13">
        <v>3175</v>
      </c>
      <c r="I34" s="13">
        <v>2627</v>
      </c>
      <c r="J34" s="13">
        <v>3369</v>
      </c>
      <c r="K34" s="13">
        <v>3631</v>
      </c>
      <c r="L34" s="13">
        <v>3785</v>
      </c>
      <c r="M34" s="13">
        <v>4080</v>
      </c>
      <c r="N34" s="13">
        <v>4332</v>
      </c>
      <c r="O34" s="13">
        <v>3853</v>
      </c>
      <c r="P34" s="13">
        <v>4856</v>
      </c>
      <c r="Q34" s="13">
        <v>4173</v>
      </c>
      <c r="R34" s="13">
        <v>4522</v>
      </c>
      <c r="S34" s="13">
        <v>4368</v>
      </c>
      <c r="T34" s="13">
        <v>4313</v>
      </c>
      <c r="U34" s="13">
        <v>4378</v>
      </c>
      <c r="V34" s="13">
        <v>4420</v>
      </c>
      <c r="W34" s="13">
        <v>4428</v>
      </c>
      <c r="X34" s="13">
        <v>3620</v>
      </c>
      <c r="Y34" s="13">
        <v>3813</v>
      </c>
      <c r="Z34" s="13">
        <v>3897</v>
      </c>
      <c r="AA34" s="13">
        <v>3362</v>
      </c>
      <c r="AB34" s="13">
        <v>4120</v>
      </c>
      <c r="AC34" s="13">
        <v>3670</v>
      </c>
      <c r="AD34" s="13">
        <v>3740</v>
      </c>
      <c r="AE34" s="13">
        <v>4492</v>
      </c>
      <c r="AF34" s="13">
        <v>3803</v>
      </c>
      <c r="AG34" s="13">
        <v>4480</v>
      </c>
      <c r="AH34" s="13">
        <v>4672</v>
      </c>
      <c r="AI34" s="13">
        <v>3841</v>
      </c>
      <c r="AJ34" s="13">
        <v>5406</v>
      </c>
      <c r="AK34" s="13">
        <v>5289</v>
      </c>
      <c r="AL34" s="13">
        <v>4588</v>
      </c>
      <c r="AM34" s="13">
        <v>4986</v>
      </c>
      <c r="AN34" s="13">
        <v>5308</v>
      </c>
      <c r="AO34" s="13">
        <v>5244</v>
      </c>
      <c r="AP34" s="13">
        <v>5232</v>
      </c>
      <c r="AQ34" s="13">
        <v>4936</v>
      </c>
      <c r="AR34" s="13">
        <v>4590</v>
      </c>
      <c r="AS34" s="13">
        <v>5393</v>
      </c>
      <c r="AT34" s="13">
        <v>4914</v>
      </c>
      <c r="AU34" s="13">
        <v>4981</v>
      </c>
      <c r="AV34" s="13">
        <v>5554</v>
      </c>
      <c r="AW34" s="13">
        <v>5173</v>
      </c>
      <c r="AX34" s="13">
        <v>4131</v>
      </c>
      <c r="AY34" s="13">
        <v>4297</v>
      </c>
      <c r="AZ34" s="13">
        <v>4483</v>
      </c>
      <c r="BA34" s="13">
        <v>4275</v>
      </c>
      <c r="BB34" s="13">
        <v>4332</v>
      </c>
    </row>
    <row r="35" spans="1:54" x14ac:dyDescent="0.2">
      <c r="A35" s="12"/>
      <c r="B35" s="15" t="s">
        <v>202</v>
      </c>
      <c r="C35" s="13">
        <v>1216</v>
      </c>
      <c r="D35" s="13">
        <v>1370</v>
      </c>
      <c r="E35" s="13">
        <v>1603</v>
      </c>
      <c r="F35" s="13">
        <v>1301</v>
      </c>
      <c r="G35" s="13">
        <v>1416</v>
      </c>
      <c r="H35" s="13">
        <v>1288</v>
      </c>
      <c r="I35" s="13">
        <v>1442</v>
      </c>
      <c r="J35" s="13">
        <v>1148</v>
      </c>
      <c r="K35" s="13">
        <v>1604</v>
      </c>
      <c r="L35" s="13">
        <v>1497</v>
      </c>
      <c r="M35" s="13">
        <v>1409</v>
      </c>
      <c r="N35" s="13">
        <v>1300</v>
      </c>
      <c r="O35" s="13">
        <v>1426</v>
      </c>
      <c r="P35" s="13">
        <v>1353</v>
      </c>
      <c r="Q35" s="13">
        <v>1131</v>
      </c>
      <c r="R35" s="13">
        <v>1418</v>
      </c>
      <c r="S35" s="13">
        <v>1226</v>
      </c>
      <c r="T35" s="13">
        <v>1563</v>
      </c>
      <c r="U35" s="13">
        <v>1223</v>
      </c>
      <c r="V35" s="13">
        <v>1551</v>
      </c>
      <c r="W35" s="13">
        <v>1372</v>
      </c>
      <c r="X35" s="13">
        <v>1336</v>
      </c>
      <c r="Y35" s="13">
        <v>1405</v>
      </c>
      <c r="Z35" s="13">
        <v>1426</v>
      </c>
      <c r="AA35" s="13">
        <v>1370</v>
      </c>
      <c r="AB35" s="13">
        <v>1245</v>
      </c>
      <c r="AC35" s="13">
        <v>1395</v>
      </c>
      <c r="AD35" s="13">
        <v>1184</v>
      </c>
      <c r="AE35" s="13">
        <v>1258</v>
      </c>
      <c r="AF35" s="13">
        <v>1244</v>
      </c>
      <c r="AG35" s="13">
        <v>1473</v>
      </c>
      <c r="AH35" s="13">
        <v>1301</v>
      </c>
      <c r="AI35" s="13">
        <v>1337</v>
      </c>
      <c r="AJ35" s="13">
        <v>1323</v>
      </c>
      <c r="AK35" s="13">
        <v>1314</v>
      </c>
      <c r="AL35" s="13">
        <v>1259</v>
      </c>
      <c r="AM35" s="13">
        <v>1397</v>
      </c>
      <c r="AN35" s="13">
        <v>1238</v>
      </c>
      <c r="AO35" s="13">
        <v>1216</v>
      </c>
      <c r="AP35" s="13">
        <v>1225</v>
      </c>
      <c r="AQ35" s="13">
        <v>1230</v>
      </c>
      <c r="AR35" s="13">
        <v>1315</v>
      </c>
      <c r="AS35" s="13">
        <v>1231</v>
      </c>
      <c r="AT35" s="13">
        <v>1333</v>
      </c>
      <c r="AU35" s="13">
        <v>1192</v>
      </c>
      <c r="AV35" s="13">
        <v>1255</v>
      </c>
      <c r="AW35" s="13">
        <v>995</v>
      </c>
      <c r="AX35" s="13">
        <v>1235</v>
      </c>
      <c r="AY35" s="13">
        <v>1167</v>
      </c>
      <c r="AZ35" s="13">
        <v>1242</v>
      </c>
      <c r="BA35" s="13">
        <v>1108</v>
      </c>
      <c r="BB35" s="13">
        <v>1117</v>
      </c>
    </row>
    <row r="36" spans="1:54" x14ac:dyDescent="0.2">
      <c r="A36" s="12"/>
      <c r="B36" s="15"/>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row>
    <row r="37" spans="1:54" x14ac:dyDescent="0.2">
      <c r="A37" s="9" t="s">
        <v>203</v>
      </c>
      <c r="C37" s="5">
        <v>1343</v>
      </c>
      <c r="D37" s="5">
        <v>1357</v>
      </c>
      <c r="E37" s="5">
        <v>1251</v>
      </c>
      <c r="F37" s="5">
        <v>1371</v>
      </c>
      <c r="G37" s="5">
        <v>1207</v>
      </c>
      <c r="H37" s="5">
        <v>1215</v>
      </c>
      <c r="I37" s="5">
        <v>1231</v>
      </c>
      <c r="J37" s="5">
        <v>1374</v>
      </c>
      <c r="K37" s="5">
        <v>1461</v>
      </c>
      <c r="L37" s="5">
        <v>1469</v>
      </c>
      <c r="M37" s="5">
        <v>1433</v>
      </c>
      <c r="N37" s="5">
        <v>1292</v>
      </c>
      <c r="O37" s="5">
        <v>1488</v>
      </c>
      <c r="P37" s="5">
        <v>1611</v>
      </c>
      <c r="Q37" s="5">
        <v>1554</v>
      </c>
      <c r="R37" s="5">
        <v>1662</v>
      </c>
      <c r="S37" s="5">
        <v>1581</v>
      </c>
      <c r="T37" s="5">
        <v>1596</v>
      </c>
      <c r="U37" s="5">
        <v>1474</v>
      </c>
      <c r="V37" s="5">
        <v>1625</v>
      </c>
      <c r="W37" s="5">
        <v>1842</v>
      </c>
      <c r="X37" s="5">
        <v>1693</v>
      </c>
      <c r="Y37" s="5">
        <v>1417</v>
      </c>
      <c r="Z37" s="5">
        <v>1434</v>
      </c>
      <c r="AA37" s="5">
        <v>1419</v>
      </c>
      <c r="AB37" s="5">
        <v>1738</v>
      </c>
      <c r="AC37" s="5">
        <v>1423</v>
      </c>
      <c r="AD37" s="5">
        <v>1554</v>
      </c>
      <c r="AE37" s="5">
        <v>1448</v>
      </c>
      <c r="AF37" s="5">
        <v>1377</v>
      </c>
      <c r="AG37" s="5">
        <v>1333</v>
      </c>
      <c r="AH37" s="5">
        <v>1318</v>
      </c>
      <c r="AI37" s="5">
        <v>1474</v>
      </c>
      <c r="AJ37" s="5">
        <v>1400</v>
      </c>
      <c r="AK37" s="5">
        <v>1249</v>
      </c>
      <c r="AL37" s="5">
        <v>1302</v>
      </c>
      <c r="AM37" s="5">
        <v>1320</v>
      </c>
      <c r="AN37" s="5">
        <v>1415</v>
      </c>
      <c r="AO37" s="5">
        <v>1276</v>
      </c>
      <c r="AP37" s="5">
        <v>1205</v>
      </c>
      <c r="AQ37" s="5">
        <v>1592</v>
      </c>
      <c r="AR37" s="5">
        <v>1371</v>
      </c>
      <c r="AS37" s="5">
        <v>1348</v>
      </c>
      <c r="AT37" s="5">
        <v>1559</v>
      </c>
      <c r="AU37" s="5">
        <v>1522</v>
      </c>
      <c r="AV37" s="5">
        <v>1637</v>
      </c>
      <c r="AW37" s="5">
        <v>1283</v>
      </c>
      <c r="AX37" s="5">
        <v>1520</v>
      </c>
      <c r="AY37" s="5">
        <v>1439</v>
      </c>
      <c r="AZ37" s="5">
        <v>1616</v>
      </c>
      <c r="BA37" s="5">
        <v>1447</v>
      </c>
      <c r="BB37" s="5">
        <v>1323</v>
      </c>
    </row>
    <row r="38" spans="1:54" x14ac:dyDescent="0.2">
      <c r="A38" s="4"/>
      <c r="B38" s="4"/>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row>
    <row r="39" spans="1:54" x14ac:dyDescent="0.2">
      <c r="A39" s="18" t="s">
        <v>204</v>
      </c>
      <c r="B39" s="19"/>
      <c r="C39" s="20">
        <v>13352</v>
      </c>
      <c r="D39" s="20">
        <v>14986</v>
      </c>
      <c r="E39" s="20">
        <v>15313</v>
      </c>
      <c r="F39" s="20">
        <v>14251</v>
      </c>
      <c r="G39" s="20">
        <v>15125</v>
      </c>
      <c r="H39" s="20">
        <v>12914</v>
      </c>
      <c r="I39" s="20">
        <v>10953</v>
      </c>
      <c r="J39" s="20">
        <v>12447</v>
      </c>
      <c r="K39" s="20">
        <v>14343</v>
      </c>
      <c r="L39" s="20">
        <v>16340</v>
      </c>
      <c r="M39" s="20">
        <v>14512</v>
      </c>
      <c r="N39" s="20">
        <v>15077</v>
      </c>
      <c r="O39" s="20">
        <v>15550</v>
      </c>
      <c r="P39" s="20">
        <v>18064</v>
      </c>
      <c r="Q39" s="20">
        <v>17179</v>
      </c>
      <c r="R39" s="20">
        <v>16624</v>
      </c>
      <c r="S39" s="20">
        <v>17040</v>
      </c>
      <c r="T39" s="20">
        <v>16234</v>
      </c>
      <c r="U39" s="20">
        <v>15547</v>
      </c>
      <c r="V39" s="20">
        <v>15295</v>
      </c>
      <c r="W39" s="20">
        <v>14250</v>
      </c>
      <c r="X39" s="20">
        <v>14317</v>
      </c>
      <c r="Y39" s="20">
        <v>14210</v>
      </c>
      <c r="Z39" s="20">
        <v>15333</v>
      </c>
      <c r="AA39" s="20">
        <v>14078</v>
      </c>
      <c r="AB39" s="20">
        <v>15065</v>
      </c>
      <c r="AC39" s="20">
        <v>13362</v>
      </c>
      <c r="AD39" s="20">
        <v>13778</v>
      </c>
      <c r="AE39" s="20">
        <v>14410</v>
      </c>
      <c r="AF39" s="20">
        <v>14319</v>
      </c>
      <c r="AG39" s="20">
        <v>15322</v>
      </c>
      <c r="AH39" s="20">
        <v>14764</v>
      </c>
      <c r="AI39" s="20">
        <v>14880</v>
      </c>
      <c r="AJ39" s="20">
        <v>16123</v>
      </c>
      <c r="AK39" s="20">
        <v>15753</v>
      </c>
      <c r="AL39" s="20">
        <v>15834</v>
      </c>
      <c r="AM39" s="20">
        <v>16343</v>
      </c>
      <c r="AN39" s="20">
        <v>15982</v>
      </c>
      <c r="AO39" s="20">
        <v>17158</v>
      </c>
      <c r="AP39" s="20">
        <v>17062</v>
      </c>
      <c r="AQ39" s="20">
        <v>17057</v>
      </c>
      <c r="AR39" s="20">
        <v>16698</v>
      </c>
      <c r="AS39" s="20">
        <v>18098</v>
      </c>
      <c r="AT39" s="20">
        <v>17816</v>
      </c>
      <c r="AU39" s="20">
        <v>17092</v>
      </c>
      <c r="AV39" s="20">
        <v>17952</v>
      </c>
      <c r="AW39" s="20">
        <v>16308</v>
      </c>
      <c r="AX39" s="20">
        <v>16758</v>
      </c>
      <c r="AY39" s="20">
        <v>16487</v>
      </c>
      <c r="AZ39" s="20">
        <v>15675</v>
      </c>
      <c r="BA39" s="20">
        <v>16805</v>
      </c>
      <c r="BB39" s="20">
        <v>15390</v>
      </c>
    </row>
    <row r="40" spans="1:54" x14ac:dyDescent="0.2">
      <c r="A40" s="12"/>
      <c r="B40" s="15"/>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row>
    <row r="41" spans="1:54" x14ac:dyDescent="0.2">
      <c r="A41" s="12"/>
      <c r="B41" s="15" t="s">
        <v>205</v>
      </c>
      <c r="C41" s="13">
        <v>38948</v>
      </c>
      <c r="D41" s="13">
        <v>46892</v>
      </c>
      <c r="E41" s="13">
        <v>46534</v>
      </c>
      <c r="F41" s="13">
        <v>49967</v>
      </c>
      <c r="G41" s="13">
        <v>51542</v>
      </c>
      <c r="H41" s="13">
        <v>45425</v>
      </c>
      <c r="I41" s="13">
        <v>47352</v>
      </c>
      <c r="J41" s="13">
        <v>49320</v>
      </c>
      <c r="K41" s="13">
        <v>51686</v>
      </c>
      <c r="L41" s="13">
        <v>49900</v>
      </c>
      <c r="M41" s="13">
        <v>48786</v>
      </c>
      <c r="N41" s="13">
        <v>52140</v>
      </c>
      <c r="O41" s="13">
        <v>48672</v>
      </c>
      <c r="P41" s="13">
        <v>48656</v>
      </c>
      <c r="Q41" s="13">
        <v>47908</v>
      </c>
      <c r="R41" s="13">
        <v>48001</v>
      </c>
      <c r="S41" s="13">
        <v>50605</v>
      </c>
      <c r="T41" s="13">
        <v>51972</v>
      </c>
      <c r="U41" s="13">
        <v>50632</v>
      </c>
      <c r="V41" s="13">
        <v>51611</v>
      </c>
      <c r="W41" s="13">
        <v>48134</v>
      </c>
      <c r="X41" s="13">
        <v>52306</v>
      </c>
      <c r="Y41" s="13">
        <v>52406</v>
      </c>
      <c r="Z41" s="13">
        <v>51486</v>
      </c>
      <c r="AA41" s="13">
        <v>51897</v>
      </c>
      <c r="AB41" s="13">
        <v>51376</v>
      </c>
      <c r="AC41" s="13">
        <v>47117</v>
      </c>
      <c r="AD41" s="13">
        <v>50933</v>
      </c>
      <c r="AE41" s="13">
        <v>51481</v>
      </c>
      <c r="AF41" s="13">
        <v>52924</v>
      </c>
      <c r="AG41" s="13">
        <v>53504</v>
      </c>
      <c r="AH41" s="13">
        <v>51568</v>
      </c>
      <c r="AI41" s="13">
        <v>53706</v>
      </c>
      <c r="AJ41" s="13">
        <v>53750</v>
      </c>
      <c r="AK41" s="13">
        <v>52803</v>
      </c>
      <c r="AL41" s="13">
        <v>47689</v>
      </c>
      <c r="AM41" s="13">
        <v>54414</v>
      </c>
      <c r="AN41" s="13">
        <v>55117</v>
      </c>
      <c r="AO41" s="13">
        <v>54377</v>
      </c>
      <c r="AP41" s="13">
        <v>50328</v>
      </c>
      <c r="AQ41" s="13">
        <v>50634</v>
      </c>
      <c r="AR41" s="13">
        <v>51987</v>
      </c>
      <c r="AS41" s="13">
        <v>53263</v>
      </c>
      <c r="AT41" s="13">
        <v>52434</v>
      </c>
      <c r="AU41" s="13">
        <v>52408</v>
      </c>
      <c r="AV41" s="13">
        <v>51123</v>
      </c>
      <c r="AW41" s="13">
        <v>49875</v>
      </c>
      <c r="AX41" s="13">
        <v>51150</v>
      </c>
      <c r="AY41" s="13">
        <v>52617</v>
      </c>
      <c r="AZ41" s="13">
        <v>53155</v>
      </c>
      <c r="BA41" s="13">
        <v>53068</v>
      </c>
      <c r="BB41" s="13">
        <v>40519</v>
      </c>
    </row>
    <row r="42" spans="1:54" x14ac:dyDescent="0.2">
      <c r="A42" s="12"/>
      <c r="B42" s="15" t="s">
        <v>206</v>
      </c>
      <c r="C42" s="13">
        <v>0</v>
      </c>
      <c r="D42" s="13">
        <v>0</v>
      </c>
      <c r="E42" s="13">
        <v>1</v>
      </c>
      <c r="F42" s="13">
        <v>0</v>
      </c>
      <c r="G42" s="13">
        <v>0</v>
      </c>
      <c r="H42" s="13">
        <v>0</v>
      </c>
      <c r="I42" s="13">
        <v>0</v>
      </c>
      <c r="J42" s="13">
        <v>0</v>
      </c>
      <c r="K42" s="13">
        <v>0</v>
      </c>
      <c r="L42" s="13">
        <v>0</v>
      </c>
      <c r="M42" s="13">
        <v>0</v>
      </c>
      <c r="N42" s="13">
        <v>0</v>
      </c>
      <c r="O42" s="13">
        <v>0</v>
      </c>
      <c r="P42" s="13">
        <v>0</v>
      </c>
      <c r="Q42" s="13">
        <v>0</v>
      </c>
      <c r="R42" s="13">
        <v>0</v>
      </c>
      <c r="S42" s="13">
        <v>0</v>
      </c>
      <c r="T42" s="13">
        <v>0</v>
      </c>
      <c r="U42" s="13">
        <v>0</v>
      </c>
      <c r="V42" s="13">
        <v>0</v>
      </c>
      <c r="W42" s="13">
        <v>0</v>
      </c>
      <c r="X42" s="13">
        <v>0</v>
      </c>
      <c r="Y42" s="13">
        <v>0</v>
      </c>
      <c r="Z42" s="13">
        <v>0</v>
      </c>
      <c r="AA42" s="13">
        <v>0</v>
      </c>
      <c r="AB42" s="13">
        <v>0</v>
      </c>
      <c r="AC42" s="13">
        <v>0</v>
      </c>
      <c r="AD42" s="13">
        <v>0</v>
      </c>
      <c r="AE42" s="13">
        <v>0</v>
      </c>
      <c r="AF42" s="13">
        <v>0</v>
      </c>
      <c r="AG42" s="13">
        <v>0</v>
      </c>
      <c r="AH42" s="13">
        <v>0</v>
      </c>
      <c r="AI42" s="13">
        <v>0</v>
      </c>
      <c r="AJ42" s="13">
        <v>0</v>
      </c>
      <c r="AK42" s="13">
        <v>0</v>
      </c>
      <c r="AL42" s="13">
        <v>0</v>
      </c>
      <c r="AM42" s="13">
        <v>0</v>
      </c>
      <c r="AN42" s="13">
        <v>0</v>
      </c>
      <c r="AO42" s="13">
        <v>0</v>
      </c>
      <c r="AP42" s="13">
        <v>0</v>
      </c>
      <c r="AQ42" s="13">
        <v>0</v>
      </c>
      <c r="AR42" s="13">
        <v>0</v>
      </c>
      <c r="AS42" s="13">
        <v>0</v>
      </c>
      <c r="AT42" s="13">
        <v>0</v>
      </c>
      <c r="AU42" s="13">
        <v>0</v>
      </c>
      <c r="AV42" s="13">
        <v>0</v>
      </c>
      <c r="AW42" s="13">
        <v>0</v>
      </c>
      <c r="AX42" s="13">
        <v>0</v>
      </c>
      <c r="AY42" s="13">
        <v>0</v>
      </c>
      <c r="AZ42" s="13">
        <v>0</v>
      </c>
      <c r="BA42" s="13">
        <v>0</v>
      </c>
      <c r="BB42" s="13">
        <v>0</v>
      </c>
    </row>
    <row r="43" spans="1:54" x14ac:dyDescent="0.2">
      <c r="A43" s="12"/>
      <c r="B43" s="15"/>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row>
    <row r="44" spans="1:54" x14ac:dyDescent="0.2">
      <c r="A44" s="18" t="s">
        <v>207</v>
      </c>
      <c r="B44" s="18"/>
      <c r="C44" s="20">
        <v>38948</v>
      </c>
      <c r="D44" s="20">
        <v>46892</v>
      </c>
      <c r="E44" s="20">
        <v>46535</v>
      </c>
      <c r="F44" s="20">
        <v>49967</v>
      </c>
      <c r="G44" s="20">
        <v>51542</v>
      </c>
      <c r="H44" s="20">
        <v>45425</v>
      </c>
      <c r="I44" s="20">
        <v>47352</v>
      </c>
      <c r="J44" s="20">
        <v>49320</v>
      </c>
      <c r="K44" s="20">
        <v>51686</v>
      </c>
      <c r="L44" s="20">
        <v>49900</v>
      </c>
      <c r="M44" s="20">
        <v>48786</v>
      </c>
      <c r="N44" s="20">
        <v>52140</v>
      </c>
      <c r="O44" s="20">
        <v>48672</v>
      </c>
      <c r="P44" s="20">
        <v>48656</v>
      </c>
      <c r="Q44" s="20">
        <v>47908</v>
      </c>
      <c r="R44" s="20">
        <v>48001</v>
      </c>
      <c r="S44" s="20">
        <v>50605</v>
      </c>
      <c r="T44" s="20">
        <v>51972</v>
      </c>
      <c r="U44" s="20">
        <v>50632</v>
      </c>
      <c r="V44" s="20">
        <v>51611</v>
      </c>
      <c r="W44" s="20">
        <v>48134</v>
      </c>
      <c r="X44" s="20">
        <v>52306</v>
      </c>
      <c r="Y44" s="20">
        <v>52406</v>
      </c>
      <c r="Z44" s="20">
        <v>51486</v>
      </c>
      <c r="AA44" s="20">
        <v>51897</v>
      </c>
      <c r="AB44" s="20">
        <v>51376</v>
      </c>
      <c r="AC44" s="20">
        <v>47117</v>
      </c>
      <c r="AD44" s="20">
        <v>50933</v>
      </c>
      <c r="AE44" s="20">
        <v>51481</v>
      </c>
      <c r="AF44" s="20">
        <v>52924</v>
      </c>
      <c r="AG44" s="20">
        <v>53504</v>
      </c>
      <c r="AH44" s="20">
        <v>51568</v>
      </c>
      <c r="AI44" s="20">
        <v>53706</v>
      </c>
      <c r="AJ44" s="20">
        <v>53750</v>
      </c>
      <c r="AK44" s="20">
        <v>52803</v>
      </c>
      <c r="AL44" s="20">
        <v>47689</v>
      </c>
      <c r="AM44" s="20">
        <v>54414</v>
      </c>
      <c r="AN44" s="20">
        <v>55117</v>
      </c>
      <c r="AO44" s="20">
        <v>54377</v>
      </c>
      <c r="AP44" s="20">
        <v>50328</v>
      </c>
      <c r="AQ44" s="20">
        <v>50634</v>
      </c>
      <c r="AR44" s="20">
        <v>51987</v>
      </c>
      <c r="AS44" s="20">
        <v>53263</v>
      </c>
      <c r="AT44" s="20">
        <v>52434</v>
      </c>
      <c r="AU44" s="20">
        <v>52408</v>
      </c>
      <c r="AV44" s="20">
        <v>51123</v>
      </c>
      <c r="AW44" s="20">
        <v>49875</v>
      </c>
      <c r="AX44" s="20">
        <v>51150</v>
      </c>
      <c r="AY44" s="20">
        <v>52617</v>
      </c>
      <c r="AZ44" s="20">
        <v>53155</v>
      </c>
      <c r="BA44" s="20">
        <v>53068</v>
      </c>
      <c r="BB44" s="20">
        <v>40519</v>
      </c>
    </row>
    <row r="45" spans="1:54" x14ac:dyDescent="0.2">
      <c r="A45" s="12"/>
      <c r="B45" s="14"/>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row>
    <row r="46" spans="1:54" ht="13.5" thickBot="1" x14ac:dyDescent="0.25">
      <c r="A46" s="21" t="s">
        <v>208</v>
      </c>
      <c r="B46" s="22"/>
      <c r="C46" s="23">
        <v>92235</v>
      </c>
      <c r="D46" s="23">
        <v>106307</v>
      </c>
      <c r="E46" s="23">
        <v>105170</v>
      </c>
      <c r="F46" s="23">
        <v>113037</v>
      </c>
      <c r="G46" s="23">
        <v>114592</v>
      </c>
      <c r="H46" s="23">
        <v>102838</v>
      </c>
      <c r="I46" s="23">
        <v>102925</v>
      </c>
      <c r="J46" s="23">
        <v>109802</v>
      </c>
      <c r="K46" s="23">
        <v>115690</v>
      </c>
      <c r="L46" s="23">
        <v>114146</v>
      </c>
      <c r="M46" s="23">
        <v>111572</v>
      </c>
      <c r="N46" s="23">
        <v>117990</v>
      </c>
      <c r="O46" s="23">
        <v>113172</v>
      </c>
      <c r="P46" s="23">
        <v>115443</v>
      </c>
      <c r="Q46" s="23">
        <v>114085</v>
      </c>
      <c r="R46" s="23">
        <v>112918</v>
      </c>
      <c r="S46" s="23">
        <v>118109</v>
      </c>
      <c r="T46" s="23">
        <v>117774</v>
      </c>
      <c r="U46" s="23">
        <v>115928</v>
      </c>
      <c r="V46" s="23">
        <v>117403</v>
      </c>
      <c r="W46" s="23">
        <v>112694</v>
      </c>
      <c r="X46" s="23">
        <v>117646</v>
      </c>
      <c r="Y46" s="23">
        <v>116381</v>
      </c>
      <c r="Z46" s="23">
        <v>117742</v>
      </c>
      <c r="AA46" s="23">
        <v>115413</v>
      </c>
      <c r="AB46" s="23">
        <v>117486</v>
      </c>
      <c r="AC46" s="23">
        <v>107243</v>
      </c>
      <c r="AD46" s="23">
        <v>113329</v>
      </c>
      <c r="AE46" s="23">
        <v>114519</v>
      </c>
      <c r="AF46" s="23">
        <v>117312</v>
      </c>
      <c r="AG46" s="23">
        <v>119431</v>
      </c>
      <c r="AH46" s="23">
        <v>114926</v>
      </c>
      <c r="AI46" s="23">
        <v>118702</v>
      </c>
      <c r="AJ46" s="23">
        <v>118889</v>
      </c>
      <c r="AK46" s="23">
        <v>120171</v>
      </c>
      <c r="AL46" s="23">
        <v>110856</v>
      </c>
      <c r="AM46" s="23">
        <v>116037</v>
      </c>
      <c r="AN46" s="23">
        <v>120658</v>
      </c>
      <c r="AO46" s="23">
        <v>122011</v>
      </c>
      <c r="AP46" s="23">
        <v>117097</v>
      </c>
      <c r="AQ46" s="23">
        <v>117504</v>
      </c>
      <c r="AR46" s="23">
        <v>119924</v>
      </c>
      <c r="AS46" s="23">
        <v>124043</v>
      </c>
      <c r="AT46" s="23">
        <v>120313</v>
      </c>
      <c r="AU46" s="23">
        <v>120152</v>
      </c>
      <c r="AV46" s="23">
        <v>118308</v>
      </c>
      <c r="AW46" s="23">
        <v>115990</v>
      </c>
      <c r="AX46" s="23">
        <v>119087</v>
      </c>
      <c r="AY46" s="23">
        <v>116741</v>
      </c>
      <c r="AZ46" s="23">
        <v>118548</v>
      </c>
      <c r="BA46" s="23">
        <v>121569</v>
      </c>
      <c r="BB46" s="23">
        <v>97169</v>
      </c>
    </row>
    <row r="47" spans="1:54" ht="13.5" thickTop="1" x14ac:dyDescent="0.2"/>
    <row r="48" spans="1:54" x14ac:dyDescent="0.2">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row>
    <row r="49" spans="1:54" ht="13.5" thickBot="1" x14ac:dyDescent="0.25">
      <c r="A49" s="46" t="s">
        <v>209</v>
      </c>
      <c r="B49" s="22"/>
      <c r="C49" s="23">
        <v>3760.7061990000002</v>
      </c>
      <c r="D49" s="23">
        <v>4471.3358349999999</v>
      </c>
      <c r="E49" s="23">
        <v>4337.6746910000002</v>
      </c>
      <c r="F49" s="23">
        <v>4714.2724500000004</v>
      </c>
      <c r="G49" s="23">
        <v>4555.2642780000006</v>
      </c>
      <c r="H49" s="23">
        <v>4190.9082479999997</v>
      </c>
      <c r="I49" s="23">
        <v>4017.3384860000006</v>
      </c>
      <c r="J49" s="23">
        <v>4247.1629469999998</v>
      </c>
      <c r="K49" s="23">
        <v>4716.4749360000005</v>
      </c>
      <c r="L49" s="23">
        <v>4506.3349800000005</v>
      </c>
      <c r="M49" s="23">
        <v>4503.3316859999986</v>
      </c>
      <c r="N49" s="23">
        <v>4904.3078159999995</v>
      </c>
      <c r="O49" s="23">
        <v>4542.5285750000012</v>
      </c>
      <c r="P49" s="23">
        <v>4755.7532139999994</v>
      </c>
      <c r="Q49" s="23">
        <v>4777.8642879999998</v>
      </c>
      <c r="R49" s="23">
        <v>4849.6587829999999</v>
      </c>
      <c r="S49" s="23">
        <v>4919.1160460000001</v>
      </c>
      <c r="T49" s="23">
        <v>4965.7216049999997</v>
      </c>
      <c r="U49" s="23">
        <v>4866.6002040000003</v>
      </c>
      <c r="V49" s="23">
        <v>4962.3366210000004</v>
      </c>
      <c r="W49" s="23">
        <v>4783.6789979999994</v>
      </c>
      <c r="X49" s="23">
        <v>4901.5868139999993</v>
      </c>
      <c r="Y49" s="23">
        <v>4899.1673229999988</v>
      </c>
      <c r="Z49" s="23">
        <v>4829.3563789999989</v>
      </c>
      <c r="AA49" s="23">
        <v>4712.8264039999985</v>
      </c>
      <c r="AB49" s="23">
        <v>4811.645055</v>
      </c>
      <c r="AC49" s="23">
        <v>4300.9824190000008</v>
      </c>
      <c r="AD49" s="23">
        <v>4520.3221249999997</v>
      </c>
      <c r="AE49" s="23">
        <v>4576.6712730000008</v>
      </c>
      <c r="AF49" s="23">
        <v>4699.6719420000009</v>
      </c>
      <c r="AG49" s="23">
        <v>4785.5069019999992</v>
      </c>
      <c r="AH49" s="23">
        <v>4689.6294589999998</v>
      </c>
      <c r="AI49" s="23">
        <v>4659.3836789999996</v>
      </c>
      <c r="AJ49" s="23">
        <v>4703.838949</v>
      </c>
      <c r="AK49" s="23">
        <v>4838.2711599999993</v>
      </c>
      <c r="AL49" s="23">
        <v>4632.8379599999998</v>
      </c>
      <c r="AM49" s="23">
        <v>4872.2622419999989</v>
      </c>
      <c r="AN49" s="23">
        <v>4817.4714800000002</v>
      </c>
      <c r="AO49" s="23">
        <v>5027.1529989999999</v>
      </c>
      <c r="AP49" s="23">
        <v>4938.0789229999991</v>
      </c>
      <c r="AQ49" s="23">
        <v>5040.5133889999997</v>
      </c>
      <c r="AR49" s="23">
        <v>5096.4326209999999</v>
      </c>
      <c r="AS49" s="23">
        <v>5291.9228759999996</v>
      </c>
      <c r="AT49" s="23">
        <v>5076.7561680000008</v>
      </c>
      <c r="AU49" s="23">
        <v>5228.4496200000003</v>
      </c>
      <c r="AV49" s="23">
        <v>5312.7805709999993</v>
      </c>
      <c r="AW49" s="23">
        <v>5136.2247689999995</v>
      </c>
      <c r="AX49" s="23">
        <v>5311.8947419999995</v>
      </c>
      <c r="AY49" s="23">
        <v>4959.4437450000014</v>
      </c>
      <c r="AZ49" s="23">
        <v>5053.2593569999999</v>
      </c>
      <c r="BA49" s="23">
        <v>5173.1410400000004</v>
      </c>
      <c r="BB49" s="23">
        <v>4268.3677549999993</v>
      </c>
    </row>
    <row r="50" spans="1:54" ht="13.5" thickTop="1" x14ac:dyDescent="0.2"/>
  </sheetData>
  <sheetProtection algorithmName="SHA-512" hashValue="BPDLZNWu0mwj0L2Bx5IG9mieBGPqWckCRiRy3z0c6rpiYYkDPJ4kNkIP3/+5eOLZrjFjnwXMsJkNOBy0skovdw==" saltValue="AfSAh/YBy7dazZ/RAeqgCw==" spinCount="100000" sheet="1" objects="1" scenarios="1"/>
  <mergeCells count="1">
    <mergeCell ref="A1:BC1"/>
  </mergeCells>
  <pageMargins left="0.17" right="0.17" top="0.17" bottom="0.5" header="0.17" footer="0.5"/>
  <pageSetup scale="70" fitToWidth="0" orientation="landscape" r:id="rId1"/>
  <headerFooter alignWithMargins="0"/>
  <colBreaks count="3" manualBreakCount="3">
    <brk id="15" max="48" man="1"/>
    <brk id="28" max="48" man="1"/>
    <brk id="41" max="48"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3">
    <tabColor rgb="FFFF0000"/>
  </sheetPr>
  <dimension ref="A1:BC50"/>
  <sheetViews>
    <sheetView workbookViewId="0">
      <selection activeCell="C22" sqref="C22"/>
    </sheetView>
  </sheetViews>
  <sheetFormatPr defaultColWidth="6.7109375" defaultRowHeight="12.75" x14ac:dyDescent="0.2"/>
  <cols>
    <col min="1" max="1" width="7.28515625" style="1" customWidth="1"/>
    <col min="2" max="2" width="53" style="1" bestFit="1" customWidth="1"/>
    <col min="3" max="3" width="9.42578125" style="3" customWidth="1"/>
    <col min="4" max="53" width="9.42578125" style="1" customWidth="1"/>
    <col min="54" max="54" width="9" style="1" customWidth="1"/>
    <col min="55" max="16384" width="6.7109375" style="1"/>
  </cols>
  <sheetData>
    <row r="1" spans="1:55" ht="53.45" customHeight="1" x14ac:dyDescent="0.4">
      <c r="A1" s="143" t="s">
        <v>220</v>
      </c>
      <c r="B1" s="144"/>
      <c r="C1" s="144"/>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c r="AH1" s="144"/>
      <c r="AI1" s="144"/>
      <c r="AJ1" s="144"/>
      <c r="AK1" s="144"/>
      <c r="AL1" s="144"/>
      <c r="AM1" s="144"/>
      <c r="AN1" s="144"/>
      <c r="AO1" s="144"/>
      <c r="AP1" s="144"/>
      <c r="AQ1" s="144"/>
      <c r="AR1" s="144"/>
      <c r="AS1" s="144"/>
      <c r="AT1" s="144"/>
      <c r="AU1" s="144"/>
      <c r="AV1" s="144"/>
      <c r="AW1" s="144"/>
      <c r="AX1" s="144"/>
      <c r="AY1" s="144"/>
      <c r="AZ1" s="144"/>
      <c r="BA1" s="144"/>
      <c r="BB1" s="144"/>
      <c r="BC1" s="144"/>
    </row>
    <row r="2" spans="1:55" ht="13.5" thickBot="1" x14ac:dyDescent="0.25">
      <c r="A2" s="4"/>
      <c r="B2" s="7" t="s">
        <v>178</v>
      </c>
      <c r="C2" s="5">
        <v>1</v>
      </c>
      <c r="D2" s="5">
        <v>2</v>
      </c>
      <c r="E2" s="5">
        <v>3</v>
      </c>
      <c r="F2" s="5">
        <v>4</v>
      </c>
      <c r="G2" s="5">
        <v>5</v>
      </c>
      <c r="H2" s="5">
        <v>6</v>
      </c>
      <c r="I2" s="5">
        <v>7</v>
      </c>
      <c r="J2" s="5">
        <v>8</v>
      </c>
      <c r="K2" s="5">
        <v>9</v>
      </c>
      <c r="L2" s="5">
        <v>10</v>
      </c>
      <c r="M2" s="5">
        <v>11</v>
      </c>
      <c r="N2" s="5">
        <v>12</v>
      </c>
      <c r="O2" s="5">
        <v>13</v>
      </c>
      <c r="P2" s="5">
        <v>14</v>
      </c>
      <c r="Q2" s="5">
        <v>15</v>
      </c>
      <c r="R2" s="5">
        <v>16</v>
      </c>
      <c r="S2" s="5">
        <v>17</v>
      </c>
      <c r="T2" s="5">
        <v>18</v>
      </c>
      <c r="U2" s="5">
        <v>19</v>
      </c>
      <c r="V2" s="5">
        <v>20</v>
      </c>
      <c r="W2" s="5">
        <v>21</v>
      </c>
      <c r="X2" s="5">
        <v>22</v>
      </c>
      <c r="Y2" s="5">
        <v>23</v>
      </c>
      <c r="Z2" s="5">
        <v>24</v>
      </c>
      <c r="AA2" s="5">
        <v>25</v>
      </c>
      <c r="AB2" s="5">
        <v>26</v>
      </c>
      <c r="AC2" s="5">
        <v>27</v>
      </c>
      <c r="AD2" s="5">
        <v>28</v>
      </c>
      <c r="AE2" s="5">
        <v>29</v>
      </c>
      <c r="AF2" s="5">
        <v>30</v>
      </c>
      <c r="AG2" s="5">
        <v>31</v>
      </c>
      <c r="AH2" s="5">
        <v>32</v>
      </c>
      <c r="AI2" s="5">
        <v>33</v>
      </c>
      <c r="AJ2" s="5">
        <v>34</v>
      </c>
      <c r="AK2" s="5">
        <v>35</v>
      </c>
      <c r="AL2" s="5">
        <v>36</v>
      </c>
      <c r="AM2" s="5">
        <v>37</v>
      </c>
      <c r="AN2" s="5">
        <v>38</v>
      </c>
      <c r="AO2" s="5">
        <v>39</v>
      </c>
      <c r="AP2" s="5">
        <v>40</v>
      </c>
      <c r="AQ2" s="5">
        <v>41</v>
      </c>
      <c r="AR2" s="5">
        <v>42</v>
      </c>
      <c r="AS2" s="5">
        <v>43</v>
      </c>
      <c r="AT2" s="5">
        <v>44</v>
      </c>
      <c r="AU2" s="5">
        <v>45</v>
      </c>
      <c r="AV2" s="5">
        <v>46</v>
      </c>
      <c r="AW2" s="5">
        <v>47</v>
      </c>
      <c r="AX2" s="5">
        <v>48</v>
      </c>
      <c r="AY2" s="5">
        <v>49</v>
      </c>
      <c r="AZ2" s="5">
        <v>50</v>
      </c>
      <c r="BA2" s="5">
        <v>51</v>
      </c>
      <c r="BB2" s="5">
        <v>52</v>
      </c>
      <c r="BC2" s="42"/>
    </row>
    <row r="3" spans="1:55" s="2" customFormat="1" ht="24.75" thickBot="1" x14ac:dyDescent="0.25">
      <c r="A3" s="6"/>
      <c r="B3" s="50" t="s">
        <v>179</v>
      </c>
      <c r="C3" s="51">
        <v>42736</v>
      </c>
      <c r="D3" s="51">
        <v>42743</v>
      </c>
      <c r="E3" s="51">
        <v>42750</v>
      </c>
      <c r="F3" s="51">
        <v>42757</v>
      </c>
      <c r="G3" s="51">
        <v>42764</v>
      </c>
      <c r="H3" s="51">
        <v>42771</v>
      </c>
      <c r="I3" s="51">
        <v>42778</v>
      </c>
      <c r="J3" s="51">
        <v>42785</v>
      </c>
      <c r="K3" s="51">
        <v>42792</v>
      </c>
      <c r="L3" s="51">
        <v>42799</v>
      </c>
      <c r="M3" s="51">
        <v>42806</v>
      </c>
      <c r="N3" s="51">
        <v>42813</v>
      </c>
      <c r="O3" s="51">
        <v>42820</v>
      </c>
      <c r="P3" s="51">
        <v>42827</v>
      </c>
      <c r="Q3" s="51">
        <v>42834</v>
      </c>
      <c r="R3" s="51">
        <v>42841</v>
      </c>
      <c r="S3" s="51">
        <v>42848</v>
      </c>
      <c r="T3" s="51">
        <v>42855</v>
      </c>
      <c r="U3" s="51">
        <v>42862</v>
      </c>
      <c r="V3" s="51">
        <v>42869</v>
      </c>
      <c r="W3" s="51">
        <v>42876</v>
      </c>
      <c r="X3" s="51">
        <v>42883</v>
      </c>
      <c r="Y3" s="51">
        <v>42890</v>
      </c>
      <c r="Z3" s="51">
        <v>42897</v>
      </c>
      <c r="AA3" s="51">
        <v>42904</v>
      </c>
      <c r="AB3" s="51">
        <v>42911</v>
      </c>
      <c r="AC3" s="51">
        <v>42918</v>
      </c>
      <c r="AD3" s="51">
        <v>42925</v>
      </c>
      <c r="AE3" s="51">
        <v>42932</v>
      </c>
      <c r="AF3" s="51">
        <v>42939</v>
      </c>
      <c r="AG3" s="51">
        <v>42946</v>
      </c>
      <c r="AH3" s="51">
        <v>42953</v>
      </c>
      <c r="AI3" s="51">
        <v>42960</v>
      </c>
      <c r="AJ3" s="51">
        <v>42967</v>
      </c>
      <c r="AK3" s="51">
        <v>42974</v>
      </c>
      <c r="AL3" s="51">
        <v>42981</v>
      </c>
      <c r="AM3" s="51">
        <v>42988</v>
      </c>
      <c r="AN3" s="51">
        <v>42995</v>
      </c>
      <c r="AO3" s="51">
        <v>43002</v>
      </c>
      <c r="AP3" s="51">
        <v>43009</v>
      </c>
      <c r="AQ3" s="51">
        <v>43016</v>
      </c>
      <c r="AR3" s="51">
        <v>43023</v>
      </c>
      <c r="AS3" s="51">
        <v>43030</v>
      </c>
      <c r="AT3" s="51">
        <v>43037</v>
      </c>
      <c r="AU3" s="51">
        <v>43044</v>
      </c>
      <c r="AV3" s="51">
        <v>43051</v>
      </c>
      <c r="AW3" s="51">
        <v>43058</v>
      </c>
      <c r="AX3" s="51">
        <v>43065</v>
      </c>
      <c r="AY3" s="51">
        <v>43072</v>
      </c>
      <c r="AZ3" s="51">
        <v>43079</v>
      </c>
      <c r="BA3" s="51">
        <v>43086</v>
      </c>
      <c r="BB3" s="51">
        <v>43093</v>
      </c>
      <c r="BC3" s="53"/>
    </row>
    <row r="4" spans="1:55" x14ac:dyDescent="0.2">
      <c r="A4" s="9" t="s">
        <v>180</v>
      </c>
      <c r="B4" s="10"/>
      <c r="C4" s="11">
        <v>7119</v>
      </c>
      <c r="D4" s="11">
        <v>7511</v>
      </c>
      <c r="E4" s="11">
        <v>7938</v>
      </c>
      <c r="F4" s="11">
        <v>7965</v>
      </c>
      <c r="G4" s="11">
        <v>7741</v>
      </c>
      <c r="H4" s="11">
        <v>7642</v>
      </c>
      <c r="I4" s="11">
        <v>7715</v>
      </c>
      <c r="J4" s="11">
        <v>8185</v>
      </c>
      <c r="K4" s="11">
        <v>7907</v>
      </c>
      <c r="L4" s="11">
        <v>7748</v>
      </c>
      <c r="M4" s="11">
        <v>7876</v>
      </c>
      <c r="N4" s="11">
        <v>8091</v>
      </c>
      <c r="O4" s="11">
        <v>7992</v>
      </c>
      <c r="P4" s="11">
        <v>8130</v>
      </c>
      <c r="Q4" s="11">
        <v>7781</v>
      </c>
      <c r="R4" s="11">
        <v>8446</v>
      </c>
      <c r="S4" s="11">
        <v>8088</v>
      </c>
      <c r="T4" s="11">
        <v>7956</v>
      </c>
      <c r="U4" s="11">
        <v>7788</v>
      </c>
      <c r="V4" s="11">
        <v>7846</v>
      </c>
      <c r="W4" s="11">
        <v>7758</v>
      </c>
      <c r="X4" s="11">
        <v>7768</v>
      </c>
      <c r="Y4" s="11">
        <v>7755</v>
      </c>
      <c r="Z4" s="11">
        <v>7661</v>
      </c>
      <c r="AA4" s="11">
        <v>7527</v>
      </c>
      <c r="AB4" s="11">
        <v>7764</v>
      </c>
      <c r="AC4" s="11">
        <v>7504</v>
      </c>
      <c r="AD4" s="11">
        <v>7594</v>
      </c>
      <c r="AE4" s="11">
        <v>7667</v>
      </c>
      <c r="AF4" s="11">
        <v>7885</v>
      </c>
      <c r="AG4" s="11">
        <v>7682</v>
      </c>
      <c r="AH4" s="11">
        <v>7306</v>
      </c>
      <c r="AI4" s="11">
        <v>7814</v>
      </c>
      <c r="AJ4" s="11">
        <v>7982</v>
      </c>
      <c r="AK4" s="11">
        <v>7891</v>
      </c>
      <c r="AL4" s="11">
        <v>7651</v>
      </c>
      <c r="AM4" s="11">
        <v>8003</v>
      </c>
      <c r="AN4" s="11">
        <v>7635</v>
      </c>
      <c r="AO4" s="11">
        <v>7805</v>
      </c>
      <c r="AP4" s="11">
        <v>7686</v>
      </c>
      <c r="AQ4" s="11">
        <v>7422</v>
      </c>
      <c r="AR4" s="11">
        <v>7684</v>
      </c>
      <c r="AS4" s="11">
        <v>7949</v>
      </c>
      <c r="AT4" s="11">
        <v>7817</v>
      </c>
      <c r="AU4" s="11">
        <v>7332</v>
      </c>
      <c r="AV4" s="11">
        <v>7385</v>
      </c>
      <c r="AW4" s="11">
        <v>7512</v>
      </c>
      <c r="AX4" s="11">
        <v>7872</v>
      </c>
      <c r="AY4" s="11">
        <v>7719</v>
      </c>
      <c r="AZ4" s="11">
        <v>7312</v>
      </c>
      <c r="BA4" s="11">
        <v>7698</v>
      </c>
      <c r="BB4" s="11">
        <v>5492</v>
      </c>
      <c r="BC4" s="42"/>
    </row>
    <row r="5" spans="1:55" x14ac:dyDescent="0.2">
      <c r="A5" s="12"/>
      <c r="B5" s="15" t="s">
        <v>181</v>
      </c>
      <c r="C5" s="13">
        <v>2717</v>
      </c>
      <c r="D5" s="13">
        <v>3083</v>
      </c>
      <c r="E5" s="13">
        <v>3362</v>
      </c>
      <c r="F5" s="13">
        <v>3180</v>
      </c>
      <c r="G5" s="13">
        <v>3130</v>
      </c>
      <c r="H5" s="13">
        <v>3084</v>
      </c>
      <c r="I5" s="13">
        <v>3319</v>
      </c>
      <c r="J5" s="13">
        <v>3410</v>
      </c>
      <c r="K5" s="13">
        <v>3231</v>
      </c>
      <c r="L5" s="13">
        <v>3262</v>
      </c>
      <c r="M5" s="13">
        <v>3265</v>
      </c>
      <c r="N5" s="13">
        <v>3437</v>
      </c>
      <c r="O5" s="13">
        <v>3460</v>
      </c>
      <c r="P5" s="13">
        <v>3475</v>
      </c>
      <c r="Q5" s="13">
        <v>3230</v>
      </c>
      <c r="R5" s="13">
        <v>3757</v>
      </c>
      <c r="S5" s="13">
        <v>3620</v>
      </c>
      <c r="T5" s="13">
        <v>3274</v>
      </c>
      <c r="U5" s="13">
        <v>3348</v>
      </c>
      <c r="V5" s="13">
        <v>3370</v>
      </c>
      <c r="W5" s="13">
        <v>3147</v>
      </c>
      <c r="X5" s="13">
        <v>3210</v>
      </c>
      <c r="Y5" s="13">
        <v>3304</v>
      </c>
      <c r="Z5" s="13">
        <v>3326</v>
      </c>
      <c r="AA5" s="13">
        <v>3324</v>
      </c>
      <c r="AB5" s="13">
        <v>3068</v>
      </c>
      <c r="AC5" s="13">
        <v>2994</v>
      </c>
      <c r="AD5" s="13">
        <v>3134</v>
      </c>
      <c r="AE5" s="13">
        <v>3165</v>
      </c>
      <c r="AF5" s="13">
        <v>3116</v>
      </c>
      <c r="AG5" s="13">
        <v>2998</v>
      </c>
      <c r="AH5" s="13">
        <v>2558</v>
      </c>
      <c r="AI5" s="13">
        <v>3232</v>
      </c>
      <c r="AJ5" s="13">
        <v>3281</v>
      </c>
      <c r="AK5" s="13">
        <v>3308</v>
      </c>
      <c r="AL5" s="13">
        <v>3016</v>
      </c>
      <c r="AM5" s="13">
        <v>3377</v>
      </c>
      <c r="AN5" s="13">
        <v>3289</v>
      </c>
      <c r="AO5" s="13">
        <v>3416</v>
      </c>
      <c r="AP5" s="13">
        <v>3239</v>
      </c>
      <c r="AQ5" s="13">
        <v>3137</v>
      </c>
      <c r="AR5" s="13">
        <v>3438</v>
      </c>
      <c r="AS5" s="13">
        <v>3440</v>
      </c>
      <c r="AT5" s="13">
        <v>3374</v>
      </c>
      <c r="AU5" s="13">
        <v>3051</v>
      </c>
      <c r="AV5" s="13">
        <v>3196</v>
      </c>
      <c r="AW5" s="13">
        <v>3066</v>
      </c>
      <c r="AX5" s="13">
        <v>3313</v>
      </c>
      <c r="AY5" s="13">
        <v>3281</v>
      </c>
      <c r="AZ5" s="13">
        <v>3133</v>
      </c>
      <c r="BA5" s="13">
        <v>3186</v>
      </c>
      <c r="BB5" s="13">
        <v>1839</v>
      </c>
      <c r="BC5" s="42"/>
    </row>
    <row r="6" spans="1:55" x14ac:dyDescent="0.2">
      <c r="A6" s="12"/>
      <c r="B6" s="15" t="s">
        <v>182</v>
      </c>
      <c r="C6" s="13">
        <v>1164</v>
      </c>
      <c r="D6" s="13">
        <v>1302</v>
      </c>
      <c r="E6" s="13">
        <v>1200</v>
      </c>
      <c r="F6" s="13">
        <v>1318</v>
      </c>
      <c r="G6" s="13">
        <v>1421</v>
      </c>
      <c r="H6" s="13">
        <v>1332</v>
      </c>
      <c r="I6" s="13">
        <v>1296</v>
      </c>
      <c r="J6" s="13">
        <v>1443</v>
      </c>
      <c r="K6" s="13">
        <v>1310</v>
      </c>
      <c r="L6" s="13">
        <v>1321</v>
      </c>
      <c r="M6" s="13">
        <v>1414</v>
      </c>
      <c r="N6" s="13">
        <v>1358</v>
      </c>
      <c r="O6" s="13">
        <v>1401</v>
      </c>
      <c r="P6" s="13">
        <v>1467</v>
      </c>
      <c r="Q6" s="13">
        <v>1349</v>
      </c>
      <c r="R6" s="13">
        <v>1422</v>
      </c>
      <c r="S6" s="13">
        <v>1381</v>
      </c>
      <c r="T6" s="13">
        <v>1544</v>
      </c>
      <c r="U6" s="13">
        <v>1489</v>
      </c>
      <c r="V6" s="13">
        <v>1386</v>
      </c>
      <c r="W6" s="13">
        <v>1344</v>
      </c>
      <c r="X6" s="13">
        <v>1426</v>
      </c>
      <c r="Y6" s="13">
        <v>1399</v>
      </c>
      <c r="Z6" s="13">
        <v>1280</v>
      </c>
      <c r="AA6" s="13">
        <v>1286</v>
      </c>
      <c r="AB6" s="13">
        <v>1361</v>
      </c>
      <c r="AC6" s="13">
        <v>1322</v>
      </c>
      <c r="AD6" s="13">
        <v>1286</v>
      </c>
      <c r="AE6" s="13">
        <v>1375</v>
      </c>
      <c r="AF6" s="13">
        <v>1461</v>
      </c>
      <c r="AG6" s="13">
        <v>1500</v>
      </c>
      <c r="AH6" s="13">
        <v>1430</v>
      </c>
      <c r="AI6" s="13">
        <v>1457</v>
      </c>
      <c r="AJ6" s="13">
        <v>1475</v>
      </c>
      <c r="AK6" s="13">
        <v>1490</v>
      </c>
      <c r="AL6" s="13">
        <v>1345</v>
      </c>
      <c r="AM6" s="13">
        <v>1445</v>
      </c>
      <c r="AN6" s="13">
        <v>1427</v>
      </c>
      <c r="AO6" s="13">
        <v>1464</v>
      </c>
      <c r="AP6" s="13">
        <v>1412</v>
      </c>
      <c r="AQ6" s="13">
        <v>1339</v>
      </c>
      <c r="AR6" s="13">
        <v>1310</v>
      </c>
      <c r="AS6" s="13">
        <v>1486</v>
      </c>
      <c r="AT6" s="13">
        <v>1392</v>
      </c>
      <c r="AU6" s="13">
        <v>1281</v>
      </c>
      <c r="AV6" s="13">
        <v>1162</v>
      </c>
      <c r="AW6" s="13">
        <v>1382</v>
      </c>
      <c r="AX6" s="13">
        <v>1518</v>
      </c>
      <c r="AY6" s="13">
        <v>1403</v>
      </c>
      <c r="AZ6" s="13">
        <v>1342</v>
      </c>
      <c r="BA6" s="13">
        <v>1423</v>
      </c>
      <c r="BB6" s="13">
        <v>752</v>
      </c>
      <c r="BC6" s="42"/>
    </row>
    <row r="7" spans="1:55" x14ac:dyDescent="0.2">
      <c r="A7" s="12"/>
      <c r="B7" s="15" t="s">
        <v>183</v>
      </c>
      <c r="C7" s="13">
        <v>3238</v>
      </c>
      <c r="D7" s="13">
        <v>3126</v>
      </c>
      <c r="E7" s="13">
        <v>3376</v>
      </c>
      <c r="F7" s="13">
        <v>3467</v>
      </c>
      <c r="G7" s="13">
        <v>3190</v>
      </c>
      <c r="H7" s="13">
        <v>3226</v>
      </c>
      <c r="I7" s="13">
        <v>3100</v>
      </c>
      <c r="J7" s="13">
        <v>3332</v>
      </c>
      <c r="K7" s="13">
        <v>3366</v>
      </c>
      <c r="L7" s="13">
        <v>3165</v>
      </c>
      <c r="M7" s="13">
        <v>3197</v>
      </c>
      <c r="N7" s="13">
        <v>3296</v>
      </c>
      <c r="O7" s="13">
        <v>3131</v>
      </c>
      <c r="P7" s="13">
        <v>3188</v>
      </c>
      <c r="Q7" s="13">
        <v>3202</v>
      </c>
      <c r="R7" s="13">
        <v>3267</v>
      </c>
      <c r="S7" s="13">
        <v>3087</v>
      </c>
      <c r="T7" s="13">
        <v>3138</v>
      </c>
      <c r="U7" s="13">
        <v>2951</v>
      </c>
      <c r="V7" s="13">
        <v>3090</v>
      </c>
      <c r="W7" s="13">
        <v>3267</v>
      </c>
      <c r="X7" s="13">
        <v>3132</v>
      </c>
      <c r="Y7" s="13">
        <v>3052</v>
      </c>
      <c r="Z7" s="13">
        <v>3055</v>
      </c>
      <c r="AA7" s="13">
        <v>2917</v>
      </c>
      <c r="AB7" s="13">
        <v>3335</v>
      </c>
      <c r="AC7" s="13">
        <v>3188</v>
      </c>
      <c r="AD7" s="13">
        <v>3174</v>
      </c>
      <c r="AE7" s="13">
        <v>3127</v>
      </c>
      <c r="AF7" s="13">
        <v>3308</v>
      </c>
      <c r="AG7" s="13">
        <v>3184</v>
      </c>
      <c r="AH7" s="13">
        <v>3318</v>
      </c>
      <c r="AI7" s="13">
        <v>3125</v>
      </c>
      <c r="AJ7" s="13">
        <v>3226</v>
      </c>
      <c r="AK7" s="13">
        <v>3093</v>
      </c>
      <c r="AL7" s="13">
        <v>3290</v>
      </c>
      <c r="AM7" s="13">
        <v>3181</v>
      </c>
      <c r="AN7" s="13">
        <v>2919</v>
      </c>
      <c r="AO7" s="13">
        <v>2925</v>
      </c>
      <c r="AP7" s="13">
        <v>3035</v>
      </c>
      <c r="AQ7" s="13">
        <v>2946</v>
      </c>
      <c r="AR7" s="13">
        <v>2936</v>
      </c>
      <c r="AS7" s="13">
        <v>3023</v>
      </c>
      <c r="AT7" s="13">
        <v>3051</v>
      </c>
      <c r="AU7" s="13">
        <v>3000</v>
      </c>
      <c r="AV7" s="13">
        <v>3027</v>
      </c>
      <c r="AW7" s="13">
        <v>3064</v>
      </c>
      <c r="AX7" s="13">
        <v>3041</v>
      </c>
      <c r="AY7" s="13">
        <v>3035</v>
      </c>
      <c r="AZ7" s="13">
        <v>2837</v>
      </c>
      <c r="BA7" s="13">
        <v>3089</v>
      </c>
      <c r="BB7" s="13">
        <v>2901</v>
      </c>
      <c r="BC7" s="42"/>
    </row>
    <row r="8" spans="1:55" x14ac:dyDescent="0.2">
      <c r="A8" s="12"/>
      <c r="B8" s="15"/>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42"/>
    </row>
    <row r="9" spans="1:55" x14ac:dyDescent="0.2">
      <c r="A9" s="16" t="s">
        <v>184</v>
      </c>
      <c r="B9" s="12"/>
      <c r="C9" s="11">
        <v>14860</v>
      </c>
      <c r="D9" s="11">
        <v>15351</v>
      </c>
      <c r="E9" s="11">
        <v>16010</v>
      </c>
      <c r="F9" s="11">
        <v>15733</v>
      </c>
      <c r="G9" s="11">
        <v>16056</v>
      </c>
      <c r="H9" s="11">
        <v>14710</v>
      </c>
      <c r="I9" s="11">
        <v>15820</v>
      </c>
      <c r="J9" s="11">
        <v>15529</v>
      </c>
      <c r="K9" s="11">
        <v>15551</v>
      </c>
      <c r="L9" s="11">
        <v>14702</v>
      </c>
      <c r="M9" s="11">
        <v>16066</v>
      </c>
      <c r="N9" s="11">
        <v>15818</v>
      </c>
      <c r="O9" s="11">
        <v>15510</v>
      </c>
      <c r="P9" s="11">
        <v>15258</v>
      </c>
      <c r="Q9" s="11">
        <v>14359</v>
      </c>
      <c r="R9" s="11">
        <v>15130</v>
      </c>
      <c r="S9" s="11">
        <v>14510</v>
      </c>
      <c r="T9" s="11">
        <v>15775</v>
      </c>
      <c r="U9" s="11">
        <v>14738</v>
      </c>
      <c r="V9" s="11">
        <v>15105</v>
      </c>
      <c r="W9" s="11">
        <v>14925</v>
      </c>
      <c r="X9" s="11">
        <v>14161</v>
      </c>
      <c r="Y9" s="11">
        <v>14848</v>
      </c>
      <c r="Z9" s="11">
        <v>14764</v>
      </c>
      <c r="AA9" s="11">
        <v>14129</v>
      </c>
      <c r="AB9" s="11">
        <v>15144</v>
      </c>
      <c r="AC9" s="11">
        <v>13526</v>
      </c>
      <c r="AD9" s="11">
        <v>14518</v>
      </c>
      <c r="AE9" s="11">
        <v>14379</v>
      </c>
      <c r="AF9" s="11">
        <v>15402</v>
      </c>
      <c r="AG9" s="11">
        <v>14054</v>
      </c>
      <c r="AH9" s="11">
        <v>14821</v>
      </c>
      <c r="AI9" s="11">
        <v>14629</v>
      </c>
      <c r="AJ9" s="11">
        <v>15312</v>
      </c>
      <c r="AK9" s="11">
        <v>14534</v>
      </c>
      <c r="AL9" s="11">
        <v>13928</v>
      </c>
      <c r="AM9" s="11">
        <v>15635</v>
      </c>
      <c r="AN9" s="11">
        <v>15157</v>
      </c>
      <c r="AO9" s="11">
        <v>15435</v>
      </c>
      <c r="AP9" s="11">
        <v>14379</v>
      </c>
      <c r="AQ9" s="11">
        <v>15089</v>
      </c>
      <c r="AR9" s="11">
        <v>14928</v>
      </c>
      <c r="AS9" s="11">
        <v>14852</v>
      </c>
      <c r="AT9" s="11">
        <v>14525</v>
      </c>
      <c r="AU9" s="11">
        <v>14945</v>
      </c>
      <c r="AV9" s="11">
        <v>16091</v>
      </c>
      <c r="AW9" s="11">
        <v>14766</v>
      </c>
      <c r="AX9" s="11">
        <v>16628</v>
      </c>
      <c r="AY9" s="11">
        <v>16127</v>
      </c>
      <c r="AZ9" s="11">
        <v>16451</v>
      </c>
      <c r="BA9" s="11">
        <v>15791</v>
      </c>
      <c r="BB9" s="11">
        <v>11509</v>
      </c>
      <c r="BC9" s="42"/>
    </row>
    <row r="10" spans="1:55" x14ac:dyDescent="0.2">
      <c r="A10" s="12"/>
      <c r="B10" s="15" t="s">
        <v>185</v>
      </c>
      <c r="C10" s="13">
        <v>8454</v>
      </c>
      <c r="D10" s="13">
        <v>8945</v>
      </c>
      <c r="E10" s="13">
        <v>9375</v>
      </c>
      <c r="F10" s="13">
        <v>8952</v>
      </c>
      <c r="G10" s="13">
        <v>9230</v>
      </c>
      <c r="H10" s="13">
        <v>8996</v>
      </c>
      <c r="I10" s="13">
        <v>9335</v>
      </c>
      <c r="J10" s="13">
        <v>9227</v>
      </c>
      <c r="K10" s="13">
        <v>9066</v>
      </c>
      <c r="L10" s="13">
        <v>8791</v>
      </c>
      <c r="M10" s="13">
        <v>9722</v>
      </c>
      <c r="N10" s="13">
        <v>9477</v>
      </c>
      <c r="O10" s="13">
        <v>8998</v>
      </c>
      <c r="P10" s="13">
        <v>9337</v>
      </c>
      <c r="Q10" s="13">
        <v>8819</v>
      </c>
      <c r="R10" s="13">
        <v>9175</v>
      </c>
      <c r="S10" s="13">
        <v>9033</v>
      </c>
      <c r="T10" s="13">
        <v>9734</v>
      </c>
      <c r="U10" s="13">
        <v>9071</v>
      </c>
      <c r="V10" s="13">
        <v>9383</v>
      </c>
      <c r="W10" s="13">
        <v>8754</v>
      </c>
      <c r="X10" s="13">
        <v>8358</v>
      </c>
      <c r="Y10" s="13">
        <v>8177</v>
      </c>
      <c r="Z10" s="13">
        <v>8404</v>
      </c>
      <c r="AA10" s="13">
        <v>8210</v>
      </c>
      <c r="AB10" s="13">
        <v>8590</v>
      </c>
      <c r="AC10" s="13">
        <v>8089</v>
      </c>
      <c r="AD10" s="13">
        <v>8143</v>
      </c>
      <c r="AE10" s="13">
        <v>8395</v>
      </c>
      <c r="AF10" s="13">
        <v>8761</v>
      </c>
      <c r="AG10" s="13">
        <v>8288</v>
      </c>
      <c r="AH10" s="13">
        <v>8576</v>
      </c>
      <c r="AI10" s="13">
        <v>8765</v>
      </c>
      <c r="AJ10" s="13">
        <v>9219</v>
      </c>
      <c r="AK10" s="13">
        <v>8851</v>
      </c>
      <c r="AL10" s="13">
        <v>8439</v>
      </c>
      <c r="AM10" s="13">
        <v>9064</v>
      </c>
      <c r="AN10" s="13">
        <v>8894</v>
      </c>
      <c r="AO10" s="13">
        <v>8892</v>
      </c>
      <c r="AP10" s="13">
        <v>8423</v>
      </c>
      <c r="AQ10" s="13">
        <v>8597</v>
      </c>
      <c r="AR10" s="13">
        <v>8490</v>
      </c>
      <c r="AS10" s="13">
        <v>8425</v>
      </c>
      <c r="AT10" s="13">
        <v>8281</v>
      </c>
      <c r="AU10" s="13">
        <v>8559</v>
      </c>
      <c r="AV10" s="13">
        <v>9330</v>
      </c>
      <c r="AW10" s="13">
        <v>8341</v>
      </c>
      <c r="AX10" s="13">
        <v>10034</v>
      </c>
      <c r="AY10" s="13">
        <v>8791</v>
      </c>
      <c r="AZ10" s="13">
        <v>9464</v>
      </c>
      <c r="BA10" s="13">
        <v>8709</v>
      </c>
      <c r="BB10" s="13">
        <v>6657</v>
      </c>
      <c r="BC10" s="42"/>
    </row>
    <row r="11" spans="1:55" x14ac:dyDescent="0.2">
      <c r="A11" s="12"/>
      <c r="B11" s="15" t="s">
        <v>186</v>
      </c>
      <c r="C11" s="13">
        <v>5595</v>
      </c>
      <c r="D11" s="13">
        <v>5504</v>
      </c>
      <c r="E11" s="13">
        <v>5853</v>
      </c>
      <c r="F11" s="13">
        <v>5725</v>
      </c>
      <c r="G11" s="13">
        <v>5884</v>
      </c>
      <c r="H11" s="13">
        <v>5110</v>
      </c>
      <c r="I11" s="13">
        <v>5887</v>
      </c>
      <c r="J11" s="13">
        <v>5779</v>
      </c>
      <c r="K11" s="13">
        <v>5713</v>
      </c>
      <c r="L11" s="13">
        <v>5086</v>
      </c>
      <c r="M11" s="13">
        <v>5533</v>
      </c>
      <c r="N11" s="13">
        <v>5516</v>
      </c>
      <c r="O11" s="13">
        <v>5867</v>
      </c>
      <c r="P11" s="13">
        <v>5083</v>
      </c>
      <c r="Q11" s="13">
        <v>4982</v>
      </c>
      <c r="R11" s="13">
        <v>4949</v>
      </c>
      <c r="S11" s="13">
        <v>4763</v>
      </c>
      <c r="T11" s="13">
        <v>4917</v>
      </c>
      <c r="U11" s="13">
        <v>5015</v>
      </c>
      <c r="V11" s="13">
        <v>4956</v>
      </c>
      <c r="W11" s="13">
        <v>5270</v>
      </c>
      <c r="X11" s="13">
        <v>4927</v>
      </c>
      <c r="Y11" s="13">
        <v>5748</v>
      </c>
      <c r="Z11" s="13">
        <v>5443</v>
      </c>
      <c r="AA11" s="13">
        <v>5131</v>
      </c>
      <c r="AB11" s="13">
        <v>5768</v>
      </c>
      <c r="AC11" s="13">
        <v>4785</v>
      </c>
      <c r="AD11" s="13">
        <v>5507</v>
      </c>
      <c r="AE11" s="13">
        <v>5136</v>
      </c>
      <c r="AF11" s="13">
        <v>5850</v>
      </c>
      <c r="AG11" s="13">
        <v>4758</v>
      </c>
      <c r="AH11" s="13">
        <v>5410</v>
      </c>
      <c r="AI11" s="13">
        <v>4844</v>
      </c>
      <c r="AJ11" s="13">
        <v>5282</v>
      </c>
      <c r="AK11" s="13">
        <v>4954</v>
      </c>
      <c r="AL11" s="13">
        <v>4923</v>
      </c>
      <c r="AM11" s="13">
        <v>5683</v>
      </c>
      <c r="AN11" s="13">
        <v>5274</v>
      </c>
      <c r="AO11" s="13">
        <v>5329</v>
      </c>
      <c r="AP11" s="13">
        <v>5396</v>
      </c>
      <c r="AQ11" s="13">
        <v>5504</v>
      </c>
      <c r="AR11" s="13">
        <v>5050</v>
      </c>
      <c r="AS11" s="13">
        <v>5241</v>
      </c>
      <c r="AT11" s="13">
        <v>5131</v>
      </c>
      <c r="AU11" s="13">
        <v>5189</v>
      </c>
      <c r="AV11" s="13">
        <v>5575</v>
      </c>
      <c r="AW11" s="13">
        <v>5265</v>
      </c>
      <c r="AX11" s="13">
        <v>5524</v>
      </c>
      <c r="AY11" s="13">
        <v>6173</v>
      </c>
      <c r="AZ11" s="13">
        <v>5934</v>
      </c>
      <c r="BA11" s="13">
        <v>6035</v>
      </c>
      <c r="BB11" s="13">
        <v>4589</v>
      </c>
      <c r="BC11" s="42"/>
    </row>
    <row r="12" spans="1:55" x14ac:dyDescent="0.2">
      <c r="A12" s="12"/>
      <c r="B12" s="15" t="s">
        <v>187</v>
      </c>
      <c r="C12" s="13">
        <v>811</v>
      </c>
      <c r="D12" s="13">
        <v>902</v>
      </c>
      <c r="E12" s="13">
        <v>782</v>
      </c>
      <c r="F12" s="13">
        <v>1056</v>
      </c>
      <c r="G12" s="13">
        <v>942</v>
      </c>
      <c r="H12" s="13">
        <v>604</v>
      </c>
      <c r="I12" s="13">
        <v>598</v>
      </c>
      <c r="J12" s="13">
        <v>523</v>
      </c>
      <c r="K12" s="13">
        <v>772</v>
      </c>
      <c r="L12" s="13">
        <v>825</v>
      </c>
      <c r="M12" s="13">
        <v>811</v>
      </c>
      <c r="N12" s="13">
        <v>825</v>
      </c>
      <c r="O12" s="13">
        <v>645</v>
      </c>
      <c r="P12" s="13">
        <v>838</v>
      </c>
      <c r="Q12" s="13">
        <v>558</v>
      </c>
      <c r="R12" s="13">
        <v>1006</v>
      </c>
      <c r="S12" s="13">
        <v>714</v>
      </c>
      <c r="T12" s="13">
        <v>1124</v>
      </c>
      <c r="U12" s="13">
        <v>652</v>
      </c>
      <c r="V12" s="13">
        <v>766</v>
      </c>
      <c r="W12" s="13">
        <v>901</v>
      </c>
      <c r="X12" s="13">
        <v>876</v>
      </c>
      <c r="Y12" s="13">
        <v>923</v>
      </c>
      <c r="Z12" s="13">
        <v>917</v>
      </c>
      <c r="AA12" s="13">
        <v>788</v>
      </c>
      <c r="AB12" s="13">
        <v>786</v>
      </c>
      <c r="AC12" s="13">
        <v>652</v>
      </c>
      <c r="AD12" s="13">
        <v>868</v>
      </c>
      <c r="AE12" s="13">
        <v>848</v>
      </c>
      <c r="AF12" s="13">
        <v>791</v>
      </c>
      <c r="AG12" s="13">
        <v>1008</v>
      </c>
      <c r="AH12" s="13">
        <v>835</v>
      </c>
      <c r="AI12" s="13">
        <v>1020</v>
      </c>
      <c r="AJ12" s="13">
        <v>811</v>
      </c>
      <c r="AK12" s="13">
        <v>729</v>
      </c>
      <c r="AL12" s="13">
        <v>566</v>
      </c>
      <c r="AM12" s="13">
        <v>888</v>
      </c>
      <c r="AN12" s="13">
        <v>989</v>
      </c>
      <c r="AO12" s="13">
        <v>1214</v>
      </c>
      <c r="AP12" s="13">
        <v>560</v>
      </c>
      <c r="AQ12" s="13">
        <v>988</v>
      </c>
      <c r="AR12" s="13">
        <v>1388</v>
      </c>
      <c r="AS12" s="13">
        <v>1186</v>
      </c>
      <c r="AT12" s="13">
        <v>1113</v>
      </c>
      <c r="AU12" s="13">
        <v>1197</v>
      </c>
      <c r="AV12" s="13">
        <v>1186</v>
      </c>
      <c r="AW12" s="13">
        <v>1160</v>
      </c>
      <c r="AX12" s="13">
        <v>1070</v>
      </c>
      <c r="AY12" s="13">
        <v>1163</v>
      </c>
      <c r="AZ12" s="13">
        <v>1053</v>
      </c>
      <c r="BA12" s="13">
        <v>1047</v>
      </c>
      <c r="BB12" s="13">
        <v>263</v>
      </c>
      <c r="BC12" s="42"/>
    </row>
    <row r="13" spans="1:55" x14ac:dyDescent="0.2">
      <c r="A13" s="12"/>
      <c r="B13" s="15"/>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c r="BC13" s="42"/>
    </row>
    <row r="14" spans="1:55" x14ac:dyDescent="0.2">
      <c r="A14" s="9" t="s">
        <v>188</v>
      </c>
      <c r="B14" s="17"/>
      <c r="C14" s="11">
        <v>15881</v>
      </c>
      <c r="D14" s="11">
        <v>16534</v>
      </c>
      <c r="E14" s="11">
        <v>17830</v>
      </c>
      <c r="F14" s="11">
        <v>17135</v>
      </c>
      <c r="G14" s="11">
        <v>17552</v>
      </c>
      <c r="H14" s="11">
        <v>17813</v>
      </c>
      <c r="I14" s="11">
        <v>17431</v>
      </c>
      <c r="J14" s="11">
        <v>18123</v>
      </c>
      <c r="K14" s="11">
        <v>17215</v>
      </c>
      <c r="L14" s="11">
        <v>18127</v>
      </c>
      <c r="M14" s="11">
        <v>17391</v>
      </c>
      <c r="N14" s="11">
        <v>17164</v>
      </c>
      <c r="O14" s="11">
        <v>15045</v>
      </c>
      <c r="P14" s="11">
        <v>14364</v>
      </c>
      <c r="Q14" s="11">
        <v>19196</v>
      </c>
      <c r="R14" s="11">
        <v>18344</v>
      </c>
      <c r="S14" s="11">
        <v>19251</v>
      </c>
      <c r="T14" s="11">
        <v>18107</v>
      </c>
      <c r="U14" s="11">
        <v>17196</v>
      </c>
      <c r="V14" s="11">
        <v>17187</v>
      </c>
      <c r="W14" s="11">
        <v>18571</v>
      </c>
      <c r="X14" s="11">
        <v>18804</v>
      </c>
      <c r="Y14" s="11">
        <v>18761</v>
      </c>
      <c r="Z14" s="11">
        <v>16839</v>
      </c>
      <c r="AA14" s="11">
        <v>17806</v>
      </c>
      <c r="AB14" s="11">
        <v>18834</v>
      </c>
      <c r="AC14" s="11">
        <v>17295</v>
      </c>
      <c r="AD14" s="11">
        <v>18457</v>
      </c>
      <c r="AE14" s="11">
        <v>17981</v>
      </c>
      <c r="AF14" s="11">
        <v>19523</v>
      </c>
      <c r="AG14" s="11">
        <v>19532</v>
      </c>
      <c r="AH14" s="11">
        <v>19018</v>
      </c>
      <c r="AI14" s="11">
        <v>17542</v>
      </c>
      <c r="AJ14" s="11">
        <v>20587</v>
      </c>
      <c r="AK14" s="11">
        <v>20039</v>
      </c>
      <c r="AL14" s="11">
        <v>19929</v>
      </c>
      <c r="AM14" s="11">
        <v>19058</v>
      </c>
      <c r="AN14" s="11">
        <v>19642</v>
      </c>
      <c r="AO14" s="11">
        <v>19731</v>
      </c>
      <c r="AP14" s="11">
        <v>18554</v>
      </c>
      <c r="AQ14" s="11">
        <v>18807</v>
      </c>
      <c r="AR14" s="11">
        <v>18719</v>
      </c>
      <c r="AS14" s="11">
        <v>19213</v>
      </c>
      <c r="AT14" s="11">
        <v>19618</v>
      </c>
      <c r="AU14" s="11">
        <v>18812</v>
      </c>
      <c r="AV14" s="11">
        <v>18403</v>
      </c>
      <c r="AW14" s="11">
        <v>18690</v>
      </c>
      <c r="AX14" s="11">
        <v>19421</v>
      </c>
      <c r="AY14" s="11">
        <v>17388</v>
      </c>
      <c r="AZ14" s="11">
        <v>15898</v>
      </c>
      <c r="BA14" s="11">
        <v>18931</v>
      </c>
      <c r="BB14" s="11">
        <v>16205</v>
      </c>
      <c r="BC14" s="42"/>
    </row>
    <row r="15" spans="1:55" x14ac:dyDescent="0.2">
      <c r="A15" s="12"/>
      <c r="B15" s="15" t="s">
        <v>189</v>
      </c>
      <c r="C15" s="13">
        <v>2308</v>
      </c>
      <c r="D15" s="13">
        <v>2478</v>
      </c>
      <c r="E15" s="13">
        <v>2728</v>
      </c>
      <c r="F15" s="13">
        <v>2712</v>
      </c>
      <c r="G15" s="13">
        <v>2764</v>
      </c>
      <c r="H15" s="13">
        <v>3067</v>
      </c>
      <c r="I15" s="13">
        <v>2565</v>
      </c>
      <c r="J15" s="13">
        <v>3157</v>
      </c>
      <c r="K15" s="13">
        <v>2994</v>
      </c>
      <c r="L15" s="13">
        <v>3260</v>
      </c>
      <c r="M15" s="13">
        <v>2779</v>
      </c>
      <c r="N15" s="13">
        <v>3379</v>
      </c>
      <c r="O15" s="13">
        <v>3223</v>
      </c>
      <c r="P15" s="13">
        <v>3530</v>
      </c>
      <c r="Q15" s="13">
        <v>2982</v>
      </c>
      <c r="R15" s="13">
        <v>3094</v>
      </c>
      <c r="S15" s="13">
        <v>3476</v>
      </c>
      <c r="T15" s="13">
        <v>3450</v>
      </c>
      <c r="U15" s="13">
        <v>3513</v>
      </c>
      <c r="V15" s="13">
        <v>3670</v>
      </c>
      <c r="W15" s="13">
        <v>4046</v>
      </c>
      <c r="X15" s="13">
        <v>4124</v>
      </c>
      <c r="Y15" s="13">
        <v>4135</v>
      </c>
      <c r="Z15" s="13">
        <v>4060</v>
      </c>
      <c r="AA15" s="13">
        <v>4311</v>
      </c>
      <c r="AB15" s="13">
        <v>4439</v>
      </c>
      <c r="AC15" s="13">
        <v>4163</v>
      </c>
      <c r="AD15" s="13">
        <v>4674</v>
      </c>
      <c r="AE15" s="13">
        <v>4245</v>
      </c>
      <c r="AF15" s="13">
        <v>4838</v>
      </c>
      <c r="AG15" s="13">
        <v>3857</v>
      </c>
      <c r="AH15" s="13">
        <v>3880</v>
      </c>
      <c r="AI15" s="13">
        <v>4214</v>
      </c>
      <c r="AJ15" s="13">
        <v>4478</v>
      </c>
      <c r="AK15" s="13">
        <v>4369</v>
      </c>
      <c r="AL15" s="13">
        <v>4459</v>
      </c>
      <c r="AM15" s="13">
        <v>4666</v>
      </c>
      <c r="AN15" s="13">
        <v>4370</v>
      </c>
      <c r="AO15" s="13">
        <v>4453</v>
      </c>
      <c r="AP15" s="13">
        <v>3900</v>
      </c>
      <c r="AQ15" s="13">
        <v>3761</v>
      </c>
      <c r="AR15" s="13">
        <v>4104</v>
      </c>
      <c r="AS15" s="13">
        <v>4083</v>
      </c>
      <c r="AT15" s="13">
        <v>3748</v>
      </c>
      <c r="AU15" s="13">
        <v>3588</v>
      </c>
      <c r="AV15" s="13">
        <v>3917</v>
      </c>
      <c r="AW15" s="13">
        <v>3388</v>
      </c>
      <c r="AX15" s="13">
        <v>3828</v>
      </c>
      <c r="AY15" s="13">
        <v>3503</v>
      </c>
      <c r="AZ15" s="13">
        <v>3440</v>
      </c>
      <c r="BA15" s="13">
        <v>3448</v>
      </c>
      <c r="BB15" s="13">
        <v>2895</v>
      </c>
      <c r="BC15" s="42"/>
    </row>
    <row r="16" spans="1:55" x14ac:dyDescent="0.2">
      <c r="A16" s="12"/>
      <c r="B16" s="15" t="s">
        <v>190</v>
      </c>
      <c r="C16" s="13">
        <v>1266</v>
      </c>
      <c r="D16" s="13">
        <v>1523</v>
      </c>
      <c r="E16" s="13">
        <v>1874</v>
      </c>
      <c r="F16" s="13">
        <v>1781</v>
      </c>
      <c r="G16" s="13">
        <v>1784</v>
      </c>
      <c r="H16" s="13">
        <v>1696</v>
      </c>
      <c r="I16" s="13">
        <v>1858</v>
      </c>
      <c r="J16" s="13">
        <v>1874</v>
      </c>
      <c r="K16" s="13">
        <v>2063</v>
      </c>
      <c r="L16" s="13">
        <v>2086</v>
      </c>
      <c r="M16" s="13">
        <v>1724</v>
      </c>
      <c r="N16" s="13">
        <v>1981</v>
      </c>
      <c r="O16" s="13">
        <v>2094</v>
      </c>
      <c r="P16" s="13">
        <v>1829</v>
      </c>
      <c r="Q16" s="13">
        <v>1776</v>
      </c>
      <c r="R16" s="13">
        <v>1872</v>
      </c>
      <c r="S16" s="13">
        <v>1950</v>
      </c>
      <c r="T16" s="13">
        <v>1830</v>
      </c>
      <c r="U16" s="13">
        <v>1629</v>
      </c>
      <c r="V16" s="13">
        <v>1714</v>
      </c>
      <c r="W16" s="13">
        <v>1708</v>
      </c>
      <c r="X16" s="13">
        <v>1724</v>
      </c>
      <c r="Y16" s="13">
        <v>1650</v>
      </c>
      <c r="Z16" s="13">
        <v>1596</v>
      </c>
      <c r="AA16" s="13">
        <v>1622</v>
      </c>
      <c r="AB16" s="13">
        <v>1893</v>
      </c>
      <c r="AC16" s="13">
        <v>1540</v>
      </c>
      <c r="AD16" s="13">
        <v>1585</v>
      </c>
      <c r="AE16" s="13">
        <v>1705</v>
      </c>
      <c r="AF16" s="13">
        <v>1991</v>
      </c>
      <c r="AG16" s="13">
        <v>2042</v>
      </c>
      <c r="AH16" s="13">
        <v>1756</v>
      </c>
      <c r="AI16" s="13">
        <v>1697</v>
      </c>
      <c r="AJ16" s="13">
        <v>1725</v>
      </c>
      <c r="AK16" s="13">
        <v>1674</v>
      </c>
      <c r="AL16" s="13">
        <v>1373</v>
      </c>
      <c r="AM16" s="13">
        <v>1678</v>
      </c>
      <c r="AN16" s="13">
        <v>1791</v>
      </c>
      <c r="AO16" s="13">
        <v>1781</v>
      </c>
      <c r="AP16" s="13">
        <v>1680</v>
      </c>
      <c r="AQ16" s="13">
        <v>1570</v>
      </c>
      <c r="AR16" s="13">
        <v>1742</v>
      </c>
      <c r="AS16" s="13">
        <v>1681</v>
      </c>
      <c r="AT16" s="13">
        <v>1780</v>
      </c>
      <c r="AU16" s="13">
        <v>1671</v>
      </c>
      <c r="AV16" s="13">
        <v>1644</v>
      </c>
      <c r="AW16" s="13">
        <v>1690</v>
      </c>
      <c r="AX16" s="13">
        <v>2083</v>
      </c>
      <c r="AY16" s="13">
        <v>1792</v>
      </c>
      <c r="AZ16" s="13">
        <v>1732</v>
      </c>
      <c r="BA16" s="13">
        <v>1868</v>
      </c>
      <c r="BB16" s="13">
        <v>1392</v>
      </c>
      <c r="BC16" s="42"/>
    </row>
    <row r="17" spans="1:54" x14ac:dyDescent="0.2">
      <c r="A17" s="12"/>
      <c r="B17" s="15" t="s">
        <v>191</v>
      </c>
      <c r="C17" s="13">
        <v>10967</v>
      </c>
      <c r="D17" s="13">
        <v>10902</v>
      </c>
      <c r="E17" s="13">
        <v>11567</v>
      </c>
      <c r="F17" s="13">
        <v>10731</v>
      </c>
      <c r="G17" s="13">
        <v>10983</v>
      </c>
      <c r="H17" s="13">
        <v>11335</v>
      </c>
      <c r="I17" s="13">
        <v>11162</v>
      </c>
      <c r="J17" s="13">
        <v>11312</v>
      </c>
      <c r="K17" s="13">
        <v>10386</v>
      </c>
      <c r="L17" s="13">
        <v>11018</v>
      </c>
      <c r="M17" s="13">
        <v>11305</v>
      </c>
      <c r="N17" s="13">
        <v>9960</v>
      </c>
      <c r="O17" s="13">
        <v>7919</v>
      </c>
      <c r="P17" s="13">
        <v>7172</v>
      </c>
      <c r="Q17" s="13">
        <v>12681</v>
      </c>
      <c r="R17" s="13">
        <v>11545</v>
      </c>
      <c r="S17" s="13">
        <v>11847</v>
      </c>
      <c r="T17" s="13">
        <v>11056</v>
      </c>
      <c r="U17" s="13">
        <v>10125</v>
      </c>
      <c r="V17" s="13">
        <v>9979</v>
      </c>
      <c r="W17" s="13">
        <v>10894</v>
      </c>
      <c r="X17" s="13">
        <v>11064</v>
      </c>
      <c r="Y17" s="13">
        <v>10898</v>
      </c>
      <c r="Z17" s="13">
        <v>9351</v>
      </c>
      <c r="AA17" s="13">
        <v>10056</v>
      </c>
      <c r="AB17" s="13">
        <v>10563</v>
      </c>
      <c r="AC17" s="13">
        <v>9775</v>
      </c>
      <c r="AD17" s="13">
        <v>10328</v>
      </c>
      <c r="AE17" s="13">
        <v>10169</v>
      </c>
      <c r="AF17" s="13">
        <v>10569</v>
      </c>
      <c r="AG17" s="13">
        <v>11735</v>
      </c>
      <c r="AH17" s="13">
        <v>11531</v>
      </c>
      <c r="AI17" s="13">
        <v>9764</v>
      </c>
      <c r="AJ17" s="13">
        <v>12273</v>
      </c>
      <c r="AK17" s="13">
        <v>12004</v>
      </c>
      <c r="AL17" s="13">
        <v>12099</v>
      </c>
      <c r="AM17" s="13">
        <v>10669</v>
      </c>
      <c r="AN17" s="13">
        <v>11472</v>
      </c>
      <c r="AO17" s="13">
        <v>11481</v>
      </c>
      <c r="AP17" s="13">
        <v>10908</v>
      </c>
      <c r="AQ17" s="13">
        <v>11550</v>
      </c>
      <c r="AR17" s="13">
        <v>10942</v>
      </c>
      <c r="AS17" s="13">
        <v>11430</v>
      </c>
      <c r="AT17" s="13">
        <v>12216</v>
      </c>
      <c r="AU17" s="13">
        <v>11907</v>
      </c>
      <c r="AV17" s="13">
        <v>10961</v>
      </c>
      <c r="AW17" s="13">
        <v>11885</v>
      </c>
      <c r="AX17" s="13">
        <v>11750</v>
      </c>
      <c r="AY17" s="13">
        <v>10530</v>
      </c>
      <c r="AZ17" s="13">
        <v>9197</v>
      </c>
      <c r="BA17" s="13">
        <v>11861</v>
      </c>
      <c r="BB17" s="13">
        <v>10664</v>
      </c>
    </row>
    <row r="18" spans="1:54" x14ac:dyDescent="0.2">
      <c r="A18" s="12"/>
      <c r="B18" s="15" t="s">
        <v>192</v>
      </c>
      <c r="C18" s="13">
        <v>938</v>
      </c>
      <c r="D18" s="13">
        <v>994</v>
      </c>
      <c r="E18" s="13">
        <v>1023</v>
      </c>
      <c r="F18" s="13">
        <v>1099</v>
      </c>
      <c r="G18" s="13">
        <v>1183</v>
      </c>
      <c r="H18" s="13">
        <v>1093</v>
      </c>
      <c r="I18" s="13">
        <v>1154</v>
      </c>
      <c r="J18" s="13">
        <v>1141</v>
      </c>
      <c r="K18" s="13">
        <v>1147</v>
      </c>
      <c r="L18" s="13">
        <v>1115</v>
      </c>
      <c r="M18" s="13">
        <v>1000</v>
      </c>
      <c r="N18" s="13">
        <v>1185</v>
      </c>
      <c r="O18" s="13">
        <v>1084</v>
      </c>
      <c r="P18" s="13">
        <v>1140</v>
      </c>
      <c r="Q18" s="13">
        <v>1158</v>
      </c>
      <c r="R18" s="13">
        <v>1157</v>
      </c>
      <c r="S18" s="13">
        <v>1178</v>
      </c>
      <c r="T18" s="13">
        <v>1123</v>
      </c>
      <c r="U18" s="13">
        <v>1217</v>
      </c>
      <c r="V18" s="13">
        <v>1128</v>
      </c>
      <c r="W18" s="13">
        <v>1214</v>
      </c>
      <c r="X18" s="13">
        <v>1121</v>
      </c>
      <c r="Y18" s="13">
        <v>1370</v>
      </c>
      <c r="Z18" s="13">
        <v>1146</v>
      </c>
      <c r="AA18" s="13">
        <v>1040</v>
      </c>
      <c r="AB18" s="13">
        <v>1139</v>
      </c>
      <c r="AC18" s="13">
        <v>1199</v>
      </c>
      <c r="AD18" s="13">
        <v>1164</v>
      </c>
      <c r="AE18" s="13">
        <v>1238</v>
      </c>
      <c r="AF18" s="13">
        <v>1338</v>
      </c>
      <c r="AG18" s="13">
        <v>1229</v>
      </c>
      <c r="AH18" s="13">
        <v>1260</v>
      </c>
      <c r="AI18" s="13">
        <v>1206</v>
      </c>
      <c r="AJ18" s="13">
        <v>1345</v>
      </c>
      <c r="AK18" s="13">
        <v>1159</v>
      </c>
      <c r="AL18" s="13">
        <v>1284</v>
      </c>
      <c r="AM18" s="13">
        <v>1325</v>
      </c>
      <c r="AN18" s="13">
        <v>1272</v>
      </c>
      <c r="AO18" s="13">
        <v>1349</v>
      </c>
      <c r="AP18" s="13">
        <v>1328</v>
      </c>
      <c r="AQ18" s="13">
        <v>1334</v>
      </c>
      <c r="AR18" s="13">
        <v>1197</v>
      </c>
      <c r="AS18" s="13">
        <v>1298</v>
      </c>
      <c r="AT18" s="13">
        <v>1182</v>
      </c>
      <c r="AU18" s="13">
        <v>1004</v>
      </c>
      <c r="AV18" s="13">
        <v>1148</v>
      </c>
      <c r="AW18" s="13">
        <v>1079</v>
      </c>
      <c r="AX18" s="13">
        <v>1052</v>
      </c>
      <c r="AY18" s="13">
        <v>903</v>
      </c>
      <c r="AZ18" s="13">
        <v>778</v>
      </c>
      <c r="BA18" s="13">
        <v>987</v>
      </c>
      <c r="BB18" s="13">
        <v>912</v>
      </c>
    </row>
    <row r="19" spans="1:54" x14ac:dyDescent="0.2">
      <c r="A19" s="12"/>
      <c r="B19" s="15" t="s">
        <v>193</v>
      </c>
      <c r="C19" s="13">
        <v>301</v>
      </c>
      <c r="D19" s="13">
        <v>474</v>
      </c>
      <c r="E19" s="13">
        <v>478</v>
      </c>
      <c r="F19" s="13">
        <v>612</v>
      </c>
      <c r="G19" s="13">
        <v>601</v>
      </c>
      <c r="H19" s="13">
        <v>425</v>
      </c>
      <c r="I19" s="13">
        <v>496</v>
      </c>
      <c r="J19" s="13">
        <v>450</v>
      </c>
      <c r="K19" s="13">
        <v>440</v>
      </c>
      <c r="L19" s="13">
        <v>459</v>
      </c>
      <c r="M19" s="13">
        <v>388</v>
      </c>
      <c r="N19" s="13">
        <v>488</v>
      </c>
      <c r="O19" s="13">
        <v>472</v>
      </c>
      <c r="P19" s="13">
        <v>456</v>
      </c>
      <c r="Q19" s="13">
        <v>381</v>
      </c>
      <c r="R19" s="13">
        <v>457</v>
      </c>
      <c r="S19" s="13">
        <v>533</v>
      </c>
      <c r="T19" s="13">
        <v>437</v>
      </c>
      <c r="U19" s="13">
        <v>454</v>
      </c>
      <c r="V19" s="13">
        <v>514</v>
      </c>
      <c r="W19" s="13">
        <v>508</v>
      </c>
      <c r="X19" s="13">
        <v>598</v>
      </c>
      <c r="Y19" s="13">
        <v>502</v>
      </c>
      <c r="Z19" s="13">
        <v>482</v>
      </c>
      <c r="AA19" s="13">
        <v>571</v>
      </c>
      <c r="AB19" s="13">
        <v>569</v>
      </c>
      <c r="AC19" s="13">
        <v>405</v>
      </c>
      <c r="AD19" s="13">
        <v>469</v>
      </c>
      <c r="AE19" s="13">
        <v>429</v>
      </c>
      <c r="AF19" s="13">
        <v>562</v>
      </c>
      <c r="AG19" s="13">
        <v>467</v>
      </c>
      <c r="AH19" s="13">
        <v>418</v>
      </c>
      <c r="AI19" s="13">
        <v>485</v>
      </c>
      <c r="AJ19" s="13">
        <v>516</v>
      </c>
      <c r="AK19" s="13">
        <v>564</v>
      </c>
      <c r="AL19" s="13">
        <v>452</v>
      </c>
      <c r="AM19" s="13">
        <v>511</v>
      </c>
      <c r="AN19" s="13">
        <v>537</v>
      </c>
      <c r="AO19" s="13">
        <v>474</v>
      </c>
      <c r="AP19" s="13">
        <v>546</v>
      </c>
      <c r="AQ19" s="13">
        <v>464</v>
      </c>
      <c r="AR19" s="13">
        <v>522</v>
      </c>
      <c r="AS19" s="13">
        <v>511</v>
      </c>
      <c r="AT19" s="13">
        <v>493</v>
      </c>
      <c r="AU19" s="13">
        <v>482</v>
      </c>
      <c r="AV19" s="13">
        <v>510</v>
      </c>
      <c r="AW19" s="13">
        <v>484</v>
      </c>
      <c r="AX19" s="13">
        <v>540</v>
      </c>
      <c r="AY19" s="13">
        <v>470</v>
      </c>
      <c r="AZ19" s="13">
        <v>576</v>
      </c>
      <c r="BA19" s="13">
        <v>545</v>
      </c>
      <c r="BB19" s="13">
        <v>258</v>
      </c>
    </row>
    <row r="20" spans="1:54" x14ac:dyDescent="0.2">
      <c r="A20" s="42"/>
      <c r="B20" s="12" t="s">
        <v>194</v>
      </c>
      <c r="C20" s="13">
        <v>101</v>
      </c>
      <c r="D20" s="13">
        <v>163</v>
      </c>
      <c r="E20" s="13">
        <v>160</v>
      </c>
      <c r="F20" s="13">
        <v>200</v>
      </c>
      <c r="G20" s="13">
        <v>237</v>
      </c>
      <c r="H20" s="13">
        <v>197</v>
      </c>
      <c r="I20" s="13">
        <v>196</v>
      </c>
      <c r="J20" s="13">
        <v>189</v>
      </c>
      <c r="K20" s="13">
        <v>185</v>
      </c>
      <c r="L20" s="13">
        <v>189</v>
      </c>
      <c r="M20" s="13">
        <v>195</v>
      </c>
      <c r="N20" s="13">
        <v>171</v>
      </c>
      <c r="O20" s="13">
        <v>253</v>
      </c>
      <c r="P20" s="13">
        <v>237</v>
      </c>
      <c r="Q20" s="13">
        <v>218</v>
      </c>
      <c r="R20" s="13">
        <v>219</v>
      </c>
      <c r="S20" s="13">
        <v>267</v>
      </c>
      <c r="T20" s="13">
        <v>211</v>
      </c>
      <c r="U20" s="13">
        <v>258</v>
      </c>
      <c r="V20" s="13">
        <v>182</v>
      </c>
      <c r="W20" s="13">
        <v>201</v>
      </c>
      <c r="X20" s="13">
        <v>173</v>
      </c>
      <c r="Y20" s="13">
        <v>206</v>
      </c>
      <c r="Z20" s="13">
        <v>204</v>
      </c>
      <c r="AA20" s="13">
        <v>206</v>
      </c>
      <c r="AB20" s="13">
        <v>231</v>
      </c>
      <c r="AC20" s="13">
        <v>213</v>
      </c>
      <c r="AD20" s="13">
        <v>237</v>
      </c>
      <c r="AE20" s="13">
        <v>195</v>
      </c>
      <c r="AF20" s="13">
        <v>225</v>
      </c>
      <c r="AG20" s="13">
        <v>202</v>
      </c>
      <c r="AH20" s="13">
        <v>173</v>
      </c>
      <c r="AI20" s="13">
        <v>176</v>
      </c>
      <c r="AJ20" s="13">
        <v>250</v>
      </c>
      <c r="AK20" s="13">
        <v>269</v>
      </c>
      <c r="AL20" s="13">
        <v>262</v>
      </c>
      <c r="AM20" s="13">
        <v>209</v>
      </c>
      <c r="AN20" s="13">
        <v>200</v>
      </c>
      <c r="AO20" s="13">
        <v>193</v>
      </c>
      <c r="AP20" s="13">
        <v>192</v>
      </c>
      <c r="AQ20" s="13">
        <v>128</v>
      </c>
      <c r="AR20" s="13">
        <v>212</v>
      </c>
      <c r="AS20" s="13">
        <v>210</v>
      </c>
      <c r="AT20" s="13">
        <v>199</v>
      </c>
      <c r="AU20" s="13">
        <v>160</v>
      </c>
      <c r="AV20" s="13">
        <v>223</v>
      </c>
      <c r="AW20" s="13">
        <v>164</v>
      </c>
      <c r="AX20" s="13">
        <v>168</v>
      </c>
      <c r="AY20" s="13">
        <v>190</v>
      </c>
      <c r="AZ20" s="13">
        <v>175</v>
      </c>
      <c r="BA20" s="13">
        <v>222</v>
      </c>
      <c r="BB20" s="13">
        <v>84</v>
      </c>
    </row>
    <row r="22" spans="1:54" x14ac:dyDescent="0.2">
      <c r="A22" s="9" t="s">
        <v>195</v>
      </c>
      <c r="B22" s="42"/>
      <c r="C22" s="5">
        <v>1075</v>
      </c>
      <c r="D22" s="5">
        <v>1361</v>
      </c>
      <c r="E22" s="5">
        <v>1511</v>
      </c>
      <c r="F22" s="5">
        <v>1714</v>
      </c>
      <c r="G22" s="5">
        <v>1304</v>
      </c>
      <c r="H22" s="5">
        <v>1474</v>
      </c>
      <c r="I22" s="5">
        <v>1362</v>
      </c>
      <c r="J22" s="5">
        <v>1306</v>
      </c>
      <c r="K22" s="5">
        <v>1313</v>
      </c>
      <c r="L22" s="5">
        <v>1063</v>
      </c>
      <c r="M22" s="5">
        <v>1371</v>
      </c>
      <c r="N22" s="5">
        <v>1378</v>
      </c>
      <c r="O22" s="5">
        <v>1465</v>
      </c>
      <c r="P22" s="5">
        <v>1618</v>
      </c>
      <c r="Q22" s="5">
        <v>1313</v>
      </c>
      <c r="R22" s="5">
        <v>1137</v>
      </c>
      <c r="S22" s="5">
        <v>1104</v>
      </c>
      <c r="T22" s="5">
        <v>1584</v>
      </c>
      <c r="U22" s="5">
        <v>1221</v>
      </c>
      <c r="V22" s="5">
        <v>1268</v>
      </c>
      <c r="W22" s="5">
        <v>1012</v>
      </c>
      <c r="X22" s="5">
        <v>907</v>
      </c>
      <c r="Y22" s="5">
        <v>1142</v>
      </c>
      <c r="Z22" s="5">
        <v>1345</v>
      </c>
      <c r="AA22" s="5">
        <v>1282</v>
      </c>
      <c r="AB22" s="5">
        <v>1095</v>
      </c>
      <c r="AC22" s="5">
        <v>1039</v>
      </c>
      <c r="AD22" s="5">
        <v>1445</v>
      </c>
      <c r="AE22" s="5">
        <v>1289</v>
      </c>
      <c r="AF22" s="5">
        <v>1121</v>
      </c>
      <c r="AG22" s="5">
        <v>923</v>
      </c>
      <c r="AH22" s="5">
        <v>1328</v>
      </c>
      <c r="AI22" s="5">
        <v>1017</v>
      </c>
      <c r="AJ22" s="5">
        <v>1112</v>
      </c>
      <c r="AK22" s="5">
        <v>1639</v>
      </c>
      <c r="AL22" s="5">
        <v>1477</v>
      </c>
      <c r="AM22" s="5">
        <v>1556</v>
      </c>
      <c r="AN22" s="5">
        <v>1790</v>
      </c>
      <c r="AO22" s="5">
        <v>1541</v>
      </c>
      <c r="AP22" s="5">
        <v>1169</v>
      </c>
      <c r="AQ22" s="5">
        <v>1420</v>
      </c>
      <c r="AR22" s="5">
        <v>1492</v>
      </c>
      <c r="AS22" s="5">
        <v>1405</v>
      </c>
      <c r="AT22" s="5">
        <v>1370</v>
      </c>
      <c r="AU22" s="5">
        <v>1399</v>
      </c>
      <c r="AV22" s="5">
        <v>1417</v>
      </c>
      <c r="AW22" s="5">
        <v>1725</v>
      </c>
      <c r="AX22" s="5">
        <v>1744</v>
      </c>
      <c r="AY22" s="5">
        <v>1980</v>
      </c>
      <c r="AZ22" s="5">
        <v>2068</v>
      </c>
      <c r="BA22" s="5">
        <v>1979</v>
      </c>
      <c r="BB22" s="5">
        <v>876</v>
      </c>
    </row>
    <row r="23" spans="1:54" x14ac:dyDescent="0.2">
      <c r="A23" s="12"/>
      <c r="B23" s="15"/>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row>
    <row r="24" spans="1:54" x14ac:dyDescent="0.2">
      <c r="A24" s="9" t="s">
        <v>196</v>
      </c>
      <c r="B24" s="42"/>
      <c r="C24" s="5">
        <v>3675</v>
      </c>
      <c r="D24" s="5">
        <v>4526</v>
      </c>
      <c r="E24" s="5">
        <v>4952</v>
      </c>
      <c r="F24" s="5">
        <v>5200</v>
      </c>
      <c r="G24" s="5">
        <v>5106</v>
      </c>
      <c r="H24" s="5">
        <v>5030</v>
      </c>
      <c r="I24" s="5">
        <v>5822</v>
      </c>
      <c r="J24" s="5">
        <v>5447</v>
      </c>
      <c r="K24" s="5">
        <v>5273</v>
      </c>
      <c r="L24" s="5">
        <v>5270</v>
      </c>
      <c r="M24" s="5">
        <v>5707</v>
      </c>
      <c r="N24" s="5">
        <v>5931</v>
      </c>
      <c r="O24" s="5">
        <v>5533</v>
      </c>
      <c r="P24" s="5">
        <v>5556</v>
      </c>
      <c r="Q24" s="5">
        <v>5519</v>
      </c>
      <c r="R24" s="5">
        <v>5591</v>
      </c>
      <c r="S24" s="5">
        <v>6134</v>
      </c>
      <c r="T24" s="5">
        <v>6055</v>
      </c>
      <c r="U24" s="5">
        <v>5885</v>
      </c>
      <c r="V24" s="5">
        <v>5785</v>
      </c>
      <c r="W24" s="5">
        <v>5628</v>
      </c>
      <c r="X24" s="5">
        <v>5288</v>
      </c>
      <c r="Y24" s="5">
        <v>5699</v>
      </c>
      <c r="Z24" s="5">
        <v>5681</v>
      </c>
      <c r="AA24" s="5">
        <v>5903</v>
      </c>
      <c r="AB24" s="5">
        <v>5434</v>
      </c>
      <c r="AC24" s="5">
        <v>4122</v>
      </c>
      <c r="AD24" s="5">
        <v>3628</v>
      </c>
      <c r="AE24" s="5">
        <v>4507</v>
      </c>
      <c r="AF24" s="5">
        <v>4847</v>
      </c>
      <c r="AG24" s="5">
        <v>4724</v>
      </c>
      <c r="AH24" s="5">
        <v>5002</v>
      </c>
      <c r="AI24" s="5">
        <v>5212</v>
      </c>
      <c r="AJ24" s="5">
        <v>5201</v>
      </c>
      <c r="AK24" s="5">
        <v>5405</v>
      </c>
      <c r="AL24" s="5">
        <v>4797</v>
      </c>
      <c r="AM24" s="5">
        <v>5430</v>
      </c>
      <c r="AN24" s="5">
        <v>5023</v>
      </c>
      <c r="AO24" s="5">
        <v>5217</v>
      </c>
      <c r="AP24" s="5">
        <v>4851</v>
      </c>
      <c r="AQ24" s="5">
        <v>4808</v>
      </c>
      <c r="AR24" s="5">
        <v>5084</v>
      </c>
      <c r="AS24" s="5">
        <v>4912</v>
      </c>
      <c r="AT24" s="5">
        <v>5042</v>
      </c>
      <c r="AU24" s="5">
        <v>5008</v>
      </c>
      <c r="AV24" s="5">
        <v>5181</v>
      </c>
      <c r="AW24" s="5">
        <v>4811</v>
      </c>
      <c r="AX24" s="5">
        <v>5483</v>
      </c>
      <c r="AY24" s="5">
        <v>5583</v>
      </c>
      <c r="AZ24" s="5">
        <v>4726</v>
      </c>
      <c r="BA24" s="5">
        <v>4973</v>
      </c>
      <c r="BB24" s="5">
        <v>2770</v>
      </c>
    </row>
    <row r="25" spans="1:54" x14ac:dyDescent="0.2">
      <c r="A25" s="12"/>
      <c r="B25" s="15"/>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row>
    <row r="26" spans="1:54" x14ac:dyDescent="0.2">
      <c r="A26" s="18" t="s">
        <v>197</v>
      </c>
      <c r="B26" s="19"/>
      <c r="C26" s="20">
        <v>42610</v>
      </c>
      <c r="D26" s="20">
        <v>45283</v>
      </c>
      <c r="E26" s="20">
        <v>48241</v>
      </c>
      <c r="F26" s="20">
        <v>47747</v>
      </c>
      <c r="G26" s="20">
        <v>47759</v>
      </c>
      <c r="H26" s="20">
        <v>46669</v>
      </c>
      <c r="I26" s="20">
        <v>48150</v>
      </c>
      <c r="J26" s="20">
        <v>48590</v>
      </c>
      <c r="K26" s="20">
        <v>47259</v>
      </c>
      <c r="L26" s="20">
        <v>46910</v>
      </c>
      <c r="M26" s="20">
        <v>48411</v>
      </c>
      <c r="N26" s="20">
        <v>48382</v>
      </c>
      <c r="O26" s="20">
        <v>45545</v>
      </c>
      <c r="P26" s="20">
        <v>44926</v>
      </c>
      <c r="Q26" s="20">
        <v>48168</v>
      </c>
      <c r="R26" s="20">
        <v>48648</v>
      </c>
      <c r="S26" s="20">
        <v>49087</v>
      </c>
      <c r="T26" s="20">
        <v>49477</v>
      </c>
      <c r="U26" s="20">
        <v>46828</v>
      </c>
      <c r="V26" s="20">
        <v>47191</v>
      </c>
      <c r="W26" s="20">
        <v>47894</v>
      </c>
      <c r="X26" s="20">
        <v>46928</v>
      </c>
      <c r="Y26" s="20">
        <v>48205</v>
      </c>
      <c r="Z26" s="20">
        <v>46290</v>
      </c>
      <c r="AA26" s="20">
        <v>46647</v>
      </c>
      <c r="AB26" s="20">
        <v>48271</v>
      </c>
      <c r="AC26" s="20">
        <v>43486</v>
      </c>
      <c r="AD26" s="20">
        <v>45642</v>
      </c>
      <c r="AE26" s="20">
        <v>45823</v>
      </c>
      <c r="AF26" s="20">
        <v>48778</v>
      </c>
      <c r="AG26" s="20">
        <v>46915</v>
      </c>
      <c r="AH26" s="20">
        <v>47475</v>
      </c>
      <c r="AI26" s="20">
        <v>46214</v>
      </c>
      <c r="AJ26" s="20">
        <v>50194</v>
      </c>
      <c r="AK26" s="20">
        <v>49508</v>
      </c>
      <c r="AL26" s="20">
        <v>47782</v>
      </c>
      <c r="AM26" s="20">
        <v>49682</v>
      </c>
      <c r="AN26" s="20">
        <v>49247</v>
      </c>
      <c r="AO26" s="20">
        <v>49729</v>
      </c>
      <c r="AP26" s="20">
        <v>46639</v>
      </c>
      <c r="AQ26" s="20">
        <v>47546</v>
      </c>
      <c r="AR26" s="20">
        <v>47907</v>
      </c>
      <c r="AS26" s="20">
        <v>48331</v>
      </c>
      <c r="AT26" s="20">
        <v>48372</v>
      </c>
      <c r="AU26" s="20">
        <v>47496</v>
      </c>
      <c r="AV26" s="20">
        <v>48477</v>
      </c>
      <c r="AW26" s="20">
        <v>47504</v>
      </c>
      <c r="AX26" s="20">
        <v>51148</v>
      </c>
      <c r="AY26" s="20">
        <v>48797</v>
      </c>
      <c r="AZ26" s="20">
        <v>46455</v>
      </c>
      <c r="BA26" s="20">
        <v>49372</v>
      </c>
      <c r="BB26" s="20">
        <v>36852</v>
      </c>
    </row>
    <row r="27" spans="1:54" x14ac:dyDescent="0.2">
      <c r="A27" s="12"/>
      <c r="B27" s="15"/>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row>
    <row r="28" spans="1:54" x14ac:dyDescent="0.2">
      <c r="A28" s="9" t="s">
        <v>198</v>
      </c>
      <c r="B28" s="12"/>
      <c r="C28" s="11">
        <v>5336</v>
      </c>
      <c r="D28" s="11">
        <v>5475</v>
      </c>
      <c r="E28" s="11">
        <v>6281</v>
      </c>
      <c r="F28" s="11">
        <v>5614</v>
      </c>
      <c r="G28" s="11">
        <v>5942</v>
      </c>
      <c r="H28" s="11">
        <v>5557</v>
      </c>
      <c r="I28" s="11">
        <v>5932</v>
      </c>
      <c r="J28" s="11">
        <v>5237</v>
      </c>
      <c r="K28" s="11">
        <v>5351</v>
      </c>
      <c r="L28" s="11">
        <v>5425</v>
      </c>
      <c r="M28" s="11">
        <v>5549</v>
      </c>
      <c r="N28" s="11">
        <v>5261</v>
      </c>
      <c r="O28" s="11">
        <v>5835</v>
      </c>
      <c r="P28" s="11">
        <v>6089</v>
      </c>
      <c r="Q28" s="11">
        <v>5963</v>
      </c>
      <c r="R28" s="11">
        <v>6061</v>
      </c>
      <c r="S28" s="11">
        <v>5732</v>
      </c>
      <c r="T28" s="11">
        <v>4663</v>
      </c>
      <c r="U28" s="11">
        <v>4588</v>
      </c>
      <c r="V28" s="11">
        <v>5528</v>
      </c>
      <c r="W28" s="11">
        <v>4920</v>
      </c>
      <c r="X28" s="11">
        <v>5242</v>
      </c>
      <c r="Y28" s="11">
        <v>5037</v>
      </c>
      <c r="Z28" s="11">
        <v>5768</v>
      </c>
      <c r="AA28" s="11">
        <v>5852</v>
      </c>
      <c r="AB28" s="11">
        <v>6020</v>
      </c>
      <c r="AC28" s="11">
        <v>6705</v>
      </c>
      <c r="AD28" s="11">
        <v>6354</v>
      </c>
      <c r="AE28" s="11">
        <v>5769</v>
      </c>
      <c r="AF28" s="11">
        <v>5995</v>
      </c>
      <c r="AG28" s="11">
        <v>6312</v>
      </c>
      <c r="AH28" s="11">
        <v>5359</v>
      </c>
      <c r="AI28" s="11">
        <v>6995</v>
      </c>
      <c r="AJ28" s="11">
        <v>6069</v>
      </c>
      <c r="AK28" s="11">
        <v>6726</v>
      </c>
      <c r="AL28" s="11">
        <v>6994</v>
      </c>
      <c r="AM28" s="11">
        <v>6564</v>
      </c>
      <c r="AN28" s="11">
        <v>5622</v>
      </c>
      <c r="AO28" s="11">
        <v>6696</v>
      </c>
      <c r="AP28" s="11">
        <v>6396</v>
      </c>
      <c r="AQ28" s="11">
        <v>5663</v>
      </c>
      <c r="AR28" s="11">
        <v>6086</v>
      </c>
      <c r="AS28" s="11">
        <v>5539</v>
      </c>
      <c r="AT28" s="11">
        <v>5881</v>
      </c>
      <c r="AU28" s="11">
        <v>5420</v>
      </c>
      <c r="AV28" s="11">
        <v>5818</v>
      </c>
      <c r="AW28" s="11">
        <v>5407</v>
      </c>
      <c r="AX28" s="11">
        <v>5691</v>
      </c>
      <c r="AY28" s="11">
        <v>6244</v>
      </c>
      <c r="AZ28" s="11">
        <v>7191</v>
      </c>
      <c r="BA28" s="11">
        <v>6489</v>
      </c>
      <c r="BB28" s="11">
        <v>4254</v>
      </c>
    </row>
    <row r="29" spans="1:54" x14ac:dyDescent="0.2">
      <c r="A29" s="12"/>
      <c r="B29" s="12" t="s">
        <v>198</v>
      </c>
      <c r="C29" s="13">
        <v>4606</v>
      </c>
      <c r="D29" s="13">
        <v>4027</v>
      </c>
      <c r="E29" s="13">
        <v>4728</v>
      </c>
      <c r="F29" s="13">
        <v>4703</v>
      </c>
      <c r="G29" s="13">
        <v>4498</v>
      </c>
      <c r="H29" s="13">
        <v>4698</v>
      </c>
      <c r="I29" s="13">
        <v>4526</v>
      </c>
      <c r="J29" s="13">
        <v>4469</v>
      </c>
      <c r="K29" s="13">
        <v>4307</v>
      </c>
      <c r="L29" s="13">
        <v>4127</v>
      </c>
      <c r="M29" s="13">
        <v>3862</v>
      </c>
      <c r="N29" s="13">
        <v>3895</v>
      </c>
      <c r="O29" s="13">
        <v>4387</v>
      </c>
      <c r="P29" s="13">
        <v>4742</v>
      </c>
      <c r="Q29" s="13">
        <v>4276</v>
      </c>
      <c r="R29" s="13">
        <v>4753</v>
      </c>
      <c r="S29" s="13">
        <v>3610</v>
      </c>
      <c r="T29" s="13">
        <v>3235</v>
      </c>
      <c r="U29" s="13">
        <v>3137</v>
      </c>
      <c r="V29" s="13">
        <v>4032</v>
      </c>
      <c r="W29" s="13">
        <v>3611</v>
      </c>
      <c r="X29" s="13">
        <v>4089</v>
      </c>
      <c r="Y29" s="13">
        <v>3607</v>
      </c>
      <c r="Z29" s="13">
        <v>4344</v>
      </c>
      <c r="AA29" s="13">
        <v>4576</v>
      </c>
      <c r="AB29" s="13">
        <v>4660</v>
      </c>
      <c r="AC29" s="13">
        <v>5372</v>
      </c>
      <c r="AD29" s="13">
        <v>5176</v>
      </c>
      <c r="AE29" s="13">
        <v>3739</v>
      </c>
      <c r="AF29" s="13">
        <v>4570</v>
      </c>
      <c r="AG29" s="13">
        <v>4990</v>
      </c>
      <c r="AH29" s="13">
        <v>4397</v>
      </c>
      <c r="AI29" s="13">
        <v>5242</v>
      </c>
      <c r="AJ29" s="13">
        <v>4651</v>
      </c>
      <c r="AK29" s="13">
        <v>5271</v>
      </c>
      <c r="AL29" s="13">
        <v>5577</v>
      </c>
      <c r="AM29" s="13">
        <v>5086</v>
      </c>
      <c r="AN29" s="13">
        <v>4197</v>
      </c>
      <c r="AO29" s="13">
        <v>5236</v>
      </c>
      <c r="AP29" s="13">
        <v>4812</v>
      </c>
      <c r="AQ29" s="13">
        <v>4611</v>
      </c>
      <c r="AR29" s="13">
        <v>4797</v>
      </c>
      <c r="AS29" s="13">
        <v>3989</v>
      </c>
      <c r="AT29" s="13">
        <v>4325</v>
      </c>
      <c r="AU29" s="13">
        <v>3956</v>
      </c>
      <c r="AV29" s="13">
        <v>4320</v>
      </c>
      <c r="AW29" s="13">
        <v>4521</v>
      </c>
      <c r="AX29" s="13">
        <v>4839</v>
      </c>
      <c r="AY29" s="13">
        <v>4579</v>
      </c>
      <c r="AZ29" s="13">
        <v>5076</v>
      </c>
      <c r="BA29" s="13">
        <v>4908</v>
      </c>
      <c r="BB29" s="13">
        <v>3557</v>
      </c>
    </row>
    <row r="30" spans="1:54" x14ac:dyDescent="0.2">
      <c r="A30" s="12"/>
      <c r="B30" s="15" t="s">
        <v>199</v>
      </c>
      <c r="C30" s="13">
        <v>730</v>
      </c>
      <c r="D30" s="13">
        <v>1448</v>
      </c>
      <c r="E30" s="13">
        <v>1553</v>
      </c>
      <c r="F30" s="13">
        <v>911</v>
      </c>
      <c r="G30" s="13">
        <v>1444</v>
      </c>
      <c r="H30" s="13">
        <v>859</v>
      </c>
      <c r="I30" s="13">
        <v>1406</v>
      </c>
      <c r="J30" s="13">
        <v>768</v>
      </c>
      <c r="K30" s="13">
        <v>1044</v>
      </c>
      <c r="L30" s="13">
        <v>1298</v>
      </c>
      <c r="M30" s="13">
        <v>1687</v>
      </c>
      <c r="N30" s="13">
        <v>1366</v>
      </c>
      <c r="O30" s="13">
        <v>1448</v>
      </c>
      <c r="P30" s="13">
        <v>1347</v>
      </c>
      <c r="Q30" s="13">
        <v>1687</v>
      </c>
      <c r="R30" s="13">
        <v>1308</v>
      </c>
      <c r="S30" s="13">
        <v>2122</v>
      </c>
      <c r="T30" s="13">
        <v>1428</v>
      </c>
      <c r="U30" s="13">
        <v>1451</v>
      </c>
      <c r="V30" s="13">
        <v>1496</v>
      </c>
      <c r="W30" s="13">
        <v>1309</v>
      </c>
      <c r="X30" s="13">
        <v>1153</v>
      </c>
      <c r="Y30" s="13">
        <v>1430</v>
      </c>
      <c r="Z30" s="13">
        <v>1424</v>
      </c>
      <c r="AA30" s="13">
        <v>1276</v>
      </c>
      <c r="AB30" s="13">
        <v>1360</v>
      </c>
      <c r="AC30" s="13">
        <v>1333</v>
      </c>
      <c r="AD30" s="13">
        <v>1178</v>
      </c>
      <c r="AE30" s="13">
        <v>2030</v>
      </c>
      <c r="AF30" s="13">
        <v>1425</v>
      </c>
      <c r="AG30" s="13">
        <v>1322</v>
      </c>
      <c r="AH30" s="13">
        <v>962</v>
      </c>
      <c r="AI30" s="13">
        <v>1753</v>
      </c>
      <c r="AJ30" s="13">
        <v>1418</v>
      </c>
      <c r="AK30" s="13">
        <v>1455</v>
      </c>
      <c r="AL30" s="13">
        <v>1417</v>
      </c>
      <c r="AM30" s="13">
        <v>1478</v>
      </c>
      <c r="AN30" s="13">
        <v>1425</v>
      </c>
      <c r="AO30" s="13">
        <v>1460</v>
      </c>
      <c r="AP30" s="13">
        <v>1584</v>
      </c>
      <c r="AQ30" s="13">
        <v>1052</v>
      </c>
      <c r="AR30" s="13">
        <v>1289</v>
      </c>
      <c r="AS30" s="13">
        <v>1550</v>
      </c>
      <c r="AT30" s="13">
        <v>1556</v>
      </c>
      <c r="AU30" s="13">
        <v>1464</v>
      </c>
      <c r="AV30" s="13">
        <v>1498</v>
      </c>
      <c r="AW30" s="13">
        <v>886</v>
      </c>
      <c r="AX30" s="13">
        <v>852</v>
      </c>
      <c r="AY30" s="13">
        <v>1665</v>
      </c>
      <c r="AZ30" s="13">
        <v>2115</v>
      </c>
      <c r="BA30" s="13">
        <v>1581</v>
      </c>
      <c r="BB30" s="13">
        <v>697</v>
      </c>
    </row>
    <row r="31" spans="1:54" x14ac:dyDescent="0.2">
      <c r="A31" s="12"/>
      <c r="B31" s="15"/>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row>
    <row r="32" spans="1:54" x14ac:dyDescent="0.2">
      <c r="A32" s="16" t="s">
        <v>200</v>
      </c>
      <c r="B32" s="12"/>
      <c r="C32" s="11">
        <v>7148</v>
      </c>
      <c r="D32" s="11">
        <v>7918</v>
      </c>
      <c r="E32" s="11">
        <v>7961</v>
      </c>
      <c r="F32" s="11">
        <v>7320</v>
      </c>
      <c r="G32" s="11">
        <v>7918</v>
      </c>
      <c r="H32" s="11">
        <v>7046</v>
      </c>
      <c r="I32" s="11">
        <v>7821</v>
      </c>
      <c r="J32" s="11">
        <v>7333</v>
      </c>
      <c r="K32" s="11">
        <v>8904</v>
      </c>
      <c r="L32" s="11">
        <v>6836</v>
      </c>
      <c r="M32" s="11">
        <v>8878</v>
      </c>
      <c r="N32" s="11">
        <v>8455</v>
      </c>
      <c r="O32" s="11">
        <v>8230</v>
      </c>
      <c r="P32" s="11">
        <v>8284</v>
      </c>
      <c r="Q32" s="11">
        <v>8300</v>
      </c>
      <c r="R32" s="11">
        <v>6826</v>
      </c>
      <c r="S32" s="11">
        <v>6985</v>
      </c>
      <c r="T32" s="11">
        <v>6717</v>
      </c>
      <c r="U32" s="11">
        <v>7954</v>
      </c>
      <c r="V32" s="11">
        <v>6462</v>
      </c>
      <c r="W32" s="11">
        <v>6095</v>
      </c>
      <c r="X32" s="11">
        <v>6024</v>
      </c>
      <c r="Y32" s="11">
        <v>6549</v>
      </c>
      <c r="Z32" s="11">
        <v>6239</v>
      </c>
      <c r="AA32" s="11">
        <v>6141</v>
      </c>
      <c r="AB32" s="11">
        <v>6578</v>
      </c>
      <c r="AC32" s="11">
        <v>6399</v>
      </c>
      <c r="AD32" s="11">
        <v>6399</v>
      </c>
      <c r="AE32" s="11">
        <v>6401</v>
      </c>
      <c r="AF32" s="11">
        <v>6776</v>
      </c>
      <c r="AG32" s="11">
        <v>5921</v>
      </c>
      <c r="AH32" s="11">
        <v>5731</v>
      </c>
      <c r="AI32" s="11">
        <v>6144</v>
      </c>
      <c r="AJ32" s="11">
        <v>5435</v>
      </c>
      <c r="AK32" s="11">
        <v>6723</v>
      </c>
      <c r="AL32" s="11">
        <v>7295</v>
      </c>
      <c r="AM32" s="11">
        <v>8220</v>
      </c>
      <c r="AN32" s="11">
        <v>7229</v>
      </c>
      <c r="AO32" s="11">
        <v>8693</v>
      </c>
      <c r="AP32" s="11">
        <v>9951</v>
      </c>
      <c r="AQ32" s="11">
        <v>8199</v>
      </c>
      <c r="AR32" s="11">
        <v>8578</v>
      </c>
      <c r="AS32" s="11">
        <v>8368</v>
      </c>
      <c r="AT32" s="11">
        <v>7902</v>
      </c>
      <c r="AU32" s="11">
        <v>8367</v>
      </c>
      <c r="AV32" s="11">
        <v>7530</v>
      </c>
      <c r="AW32" s="11">
        <v>6553</v>
      </c>
      <c r="AX32" s="11">
        <v>6934</v>
      </c>
      <c r="AY32" s="11">
        <v>7019</v>
      </c>
      <c r="AZ32" s="11">
        <v>8633</v>
      </c>
      <c r="BA32" s="11">
        <v>7419</v>
      </c>
      <c r="BB32" s="11">
        <v>6012</v>
      </c>
    </row>
    <row r="33" spans="1:54" x14ac:dyDescent="0.2">
      <c r="A33" s="12"/>
      <c r="B33" s="15" t="s">
        <v>201</v>
      </c>
      <c r="C33" s="13">
        <v>2059</v>
      </c>
      <c r="D33" s="13">
        <v>2899</v>
      </c>
      <c r="E33" s="13">
        <v>2430</v>
      </c>
      <c r="F33" s="13">
        <v>1772</v>
      </c>
      <c r="G33" s="13">
        <v>2365</v>
      </c>
      <c r="H33" s="13">
        <v>1655</v>
      </c>
      <c r="I33" s="13">
        <v>2503</v>
      </c>
      <c r="J33" s="13">
        <v>1811</v>
      </c>
      <c r="K33" s="13">
        <v>2319</v>
      </c>
      <c r="L33" s="13">
        <v>1855</v>
      </c>
      <c r="M33" s="13">
        <v>3290</v>
      </c>
      <c r="N33" s="13">
        <v>2686</v>
      </c>
      <c r="O33" s="13">
        <v>2352</v>
      </c>
      <c r="P33" s="13">
        <v>2296</v>
      </c>
      <c r="Q33" s="13">
        <v>2524</v>
      </c>
      <c r="R33" s="13">
        <v>1450</v>
      </c>
      <c r="S33" s="13">
        <v>2527</v>
      </c>
      <c r="T33" s="13">
        <v>1860</v>
      </c>
      <c r="U33" s="13">
        <v>1409</v>
      </c>
      <c r="V33" s="13">
        <v>1300</v>
      </c>
      <c r="W33" s="13">
        <v>1521</v>
      </c>
      <c r="X33" s="13">
        <v>1345</v>
      </c>
      <c r="Y33" s="13">
        <v>1248</v>
      </c>
      <c r="Z33" s="13">
        <v>1530</v>
      </c>
      <c r="AA33" s="13">
        <v>1477</v>
      </c>
      <c r="AB33" s="13">
        <v>1428</v>
      </c>
      <c r="AC33" s="13">
        <v>1419</v>
      </c>
      <c r="AD33" s="13">
        <v>1301</v>
      </c>
      <c r="AE33" s="13">
        <v>1438</v>
      </c>
      <c r="AF33" s="13">
        <v>1621</v>
      </c>
      <c r="AG33" s="13">
        <v>811</v>
      </c>
      <c r="AH33" s="13">
        <v>1137</v>
      </c>
      <c r="AI33" s="13">
        <v>751</v>
      </c>
      <c r="AJ33" s="13">
        <v>676</v>
      </c>
      <c r="AK33" s="13">
        <v>1732</v>
      </c>
      <c r="AL33" s="13">
        <v>2361</v>
      </c>
      <c r="AM33" s="13">
        <v>3292</v>
      </c>
      <c r="AN33" s="13">
        <v>2767</v>
      </c>
      <c r="AO33" s="13">
        <v>3226</v>
      </c>
      <c r="AP33" s="13">
        <v>3298</v>
      </c>
      <c r="AQ33" s="13">
        <v>2111</v>
      </c>
      <c r="AR33" s="13">
        <v>1878</v>
      </c>
      <c r="AS33" s="13">
        <v>2054</v>
      </c>
      <c r="AT33" s="13">
        <v>1545</v>
      </c>
      <c r="AU33" s="13">
        <v>1728</v>
      </c>
      <c r="AV33" s="13">
        <v>1536</v>
      </c>
      <c r="AW33" s="13">
        <v>1481</v>
      </c>
      <c r="AX33" s="13">
        <v>2010</v>
      </c>
      <c r="AY33" s="13">
        <v>1839</v>
      </c>
      <c r="AZ33" s="13">
        <v>3247</v>
      </c>
      <c r="BA33" s="13">
        <v>2126</v>
      </c>
      <c r="BB33" s="13">
        <v>1820</v>
      </c>
    </row>
    <row r="34" spans="1:54" x14ac:dyDescent="0.2">
      <c r="A34" s="12"/>
      <c r="B34" s="15" t="s">
        <v>200</v>
      </c>
      <c r="C34" s="13">
        <v>3594</v>
      </c>
      <c r="D34" s="13">
        <v>3732</v>
      </c>
      <c r="E34" s="13">
        <v>4164</v>
      </c>
      <c r="F34" s="13">
        <v>4364</v>
      </c>
      <c r="G34" s="13">
        <v>4229</v>
      </c>
      <c r="H34" s="13">
        <v>3959</v>
      </c>
      <c r="I34" s="13">
        <v>4089</v>
      </c>
      <c r="J34" s="13">
        <v>4133</v>
      </c>
      <c r="K34" s="13">
        <v>5166</v>
      </c>
      <c r="L34" s="13">
        <v>3751</v>
      </c>
      <c r="M34" s="13">
        <v>4246</v>
      </c>
      <c r="N34" s="13">
        <v>4298</v>
      </c>
      <c r="O34" s="13">
        <v>4804</v>
      </c>
      <c r="P34" s="13">
        <v>4596</v>
      </c>
      <c r="Q34" s="13">
        <v>4566</v>
      </c>
      <c r="R34" s="13">
        <v>4283</v>
      </c>
      <c r="S34" s="13">
        <v>3197</v>
      </c>
      <c r="T34" s="13">
        <v>3476</v>
      </c>
      <c r="U34" s="13">
        <v>5001</v>
      </c>
      <c r="V34" s="13">
        <v>4057</v>
      </c>
      <c r="W34" s="13">
        <v>3363</v>
      </c>
      <c r="X34" s="13">
        <v>3306</v>
      </c>
      <c r="Y34" s="13">
        <v>3984</v>
      </c>
      <c r="Z34" s="13">
        <v>3420</v>
      </c>
      <c r="AA34" s="13">
        <v>3454</v>
      </c>
      <c r="AB34" s="13">
        <v>3747</v>
      </c>
      <c r="AC34" s="13">
        <v>3582</v>
      </c>
      <c r="AD34" s="13">
        <v>3833</v>
      </c>
      <c r="AE34" s="13">
        <v>3770</v>
      </c>
      <c r="AF34" s="13">
        <v>3958</v>
      </c>
      <c r="AG34" s="13">
        <v>3904</v>
      </c>
      <c r="AH34" s="13">
        <v>3343</v>
      </c>
      <c r="AI34" s="13">
        <v>4057</v>
      </c>
      <c r="AJ34" s="13">
        <v>3543</v>
      </c>
      <c r="AK34" s="13">
        <v>3806</v>
      </c>
      <c r="AL34" s="13">
        <v>3767</v>
      </c>
      <c r="AM34" s="13">
        <v>3636</v>
      </c>
      <c r="AN34" s="13">
        <v>3200</v>
      </c>
      <c r="AO34" s="13">
        <v>3940</v>
      </c>
      <c r="AP34" s="13">
        <v>5102</v>
      </c>
      <c r="AQ34" s="13">
        <v>4848</v>
      </c>
      <c r="AR34" s="13">
        <v>5304</v>
      </c>
      <c r="AS34" s="13">
        <v>4836</v>
      </c>
      <c r="AT34" s="13">
        <v>5002</v>
      </c>
      <c r="AU34" s="13">
        <v>5355</v>
      </c>
      <c r="AV34" s="13">
        <v>5052</v>
      </c>
      <c r="AW34" s="13">
        <v>3805</v>
      </c>
      <c r="AX34" s="13">
        <v>3539</v>
      </c>
      <c r="AY34" s="13">
        <v>3838</v>
      </c>
      <c r="AZ34" s="13">
        <v>4102</v>
      </c>
      <c r="BA34" s="13">
        <v>4014</v>
      </c>
      <c r="BB34" s="13">
        <v>3033</v>
      </c>
    </row>
    <row r="35" spans="1:54" x14ac:dyDescent="0.2">
      <c r="A35" s="12"/>
      <c r="B35" s="15" t="s">
        <v>202</v>
      </c>
      <c r="C35" s="13">
        <v>1495</v>
      </c>
      <c r="D35" s="13">
        <v>1287</v>
      </c>
      <c r="E35" s="13">
        <v>1367</v>
      </c>
      <c r="F35" s="13">
        <v>1184</v>
      </c>
      <c r="G35" s="13">
        <v>1324</v>
      </c>
      <c r="H35" s="13">
        <v>1432</v>
      </c>
      <c r="I35" s="13">
        <v>1229</v>
      </c>
      <c r="J35" s="13">
        <v>1389</v>
      </c>
      <c r="K35" s="13">
        <v>1419</v>
      </c>
      <c r="L35" s="13">
        <v>1230</v>
      </c>
      <c r="M35" s="13">
        <v>1342</v>
      </c>
      <c r="N35" s="13">
        <v>1471</v>
      </c>
      <c r="O35" s="13">
        <v>1074</v>
      </c>
      <c r="P35" s="13">
        <v>1392</v>
      </c>
      <c r="Q35" s="13">
        <v>1210</v>
      </c>
      <c r="R35" s="13">
        <v>1093</v>
      </c>
      <c r="S35" s="13">
        <v>1261</v>
      </c>
      <c r="T35" s="13">
        <v>1381</v>
      </c>
      <c r="U35" s="13">
        <v>1544</v>
      </c>
      <c r="V35" s="13">
        <v>1105</v>
      </c>
      <c r="W35" s="13">
        <v>1211</v>
      </c>
      <c r="X35" s="13">
        <v>1373</v>
      </c>
      <c r="Y35" s="13">
        <v>1317</v>
      </c>
      <c r="Z35" s="13">
        <v>1289</v>
      </c>
      <c r="AA35" s="13">
        <v>1210</v>
      </c>
      <c r="AB35" s="13">
        <v>1403</v>
      </c>
      <c r="AC35" s="13">
        <v>1398</v>
      </c>
      <c r="AD35" s="13">
        <v>1265</v>
      </c>
      <c r="AE35" s="13">
        <v>1193</v>
      </c>
      <c r="AF35" s="13">
        <v>1197</v>
      </c>
      <c r="AG35" s="13">
        <v>1206</v>
      </c>
      <c r="AH35" s="13">
        <v>1251</v>
      </c>
      <c r="AI35" s="13">
        <v>1336</v>
      </c>
      <c r="AJ35" s="13">
        <v>1216</v>
      </c>
      <c r="AK35" s="13">
        <v>1185</v>
      </c>
      <c r="AL35" s="13">
        <v>1167</v>
      </c>
      <c r="AM35" s="13">
        <v>1292</v>
      </c>
      <c r="AN35" s="13">
        <v>1262</v>
      </c>
      <c r="AO35" s="13">
        <v>1527</v>
      </c>
      <c r="AP35" s="13">
        <v>1551</v>
      </c>
      <c r="AQ35" s="13">
        <v>1240</v>
      </c>
      <c r="AR35" s="13">
        <v>1396</v>
      </c>
      <c r="AS35" s="13">
        <v>1478</v>
      </c>
      <c r="AT35" s="13">
        <v>1355</v>
      </c>
      <c r="AU35" s="13">
        <v>1284</v>
      </c>
      <c r="AV35" s="13">
        <v>942</v>
      </c>
      <c r="AW35" s="13">
        <v>1267</v>
      </c>
      <c r="AX35" s="13">
        <v>1385</v>
      </c>
      <c r="AY35" s="13">
        <v>1342</v>
      </c>
      <c r="AZ35" s="13">
        <v>1284</v>
      </c>
      <c r="BA35" s="13">
        <v>1279</v>
      </c>
      <c r="BB35" s="13">
        <v>1159</v>
      </c>
    </row>
    <row r="36" spans="1:54" x14ac:dyDescent="0.2">
      <c r="A36" s="12"/>
      <c r="B36" s="15"/>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row>
    <row r="37" spans="1:54" x14ac:dyDescent="0.2">
      <c r="A37" s="9" t="s">
        <v>203</v>
      </c>
      <c r="B37" s="42"/>
      <c r="C37" s="5">
        <v>1462</v>
      </c>
      <c r="D37" s="5">
        <v>1506</v>
      </c>
      <c r="E37" s="5">
        <v>1558</v>
      </c>
      <c r="F37" s="5">
        <v>1307</v>
      </c>
      <c r="G37" s="5">
        <v>1554</v>
      </c>
      <c r="H37" s="5">
        <v>1497</v>
      </c>
      <c r="I37" s="5">
        <v>1381</v>
      </c>
      <c r="J37" s="5">
        <v>1658</v>
      </c>
      <c r="K37" s="5">
        <v>1424</v>
      </c>
      <c r="L37" s="5">
        <v>1571</v>
      </c>
      <c r="M37" s="5">
        <v>1383</v>
      </c>
      <c r="N37" s="5">
        <v>1669</v>
      </c>
      <c r="O37" s="5">
        <v>1489</v>
      </c>
      <c r="P37" s="5">
        <v>1539</v>
      </c>
      <c r="Q37" s="5">
        <v>1615</v>
      </c>
      <c r="R37" s="5">
        <v>1304</v>
      </c>
      <c r="S37" s="5">
        <v>1567</v>
      </c>
      <c r="T37" s="5">
        <v>1364</v>
      </c>
      <c r="U37" s="5">
        <v>1314</v>
      </c>
      <c r="V37" s="5">
        <v>1343</v>
      </c>
      <c r="W37" s="5">
        <v>1403</v>
      </c>
      <c r="X37" s="5">
        <v>1120</v>
      </c>
      <c r="Y37" s="5">
        <v>1209</v>
      </c>
      <c r="Z37" s="5">
        <v>1309</v>
      </c>
      <c r="AA37" s="5">
        <v>1324</v>
      </c>
      <c r="AB37" s="5">
        <v>1186</v>
      </c>
      <c r="AC37" s="5">
        <v>1341</v>
      </c>
      <c r="AD37" s="5">
        <v>1588</v>
      </c>
      <c r="AE37" s="5">
        <v>1327</v>
      </c>
      <c r="AF37" s="5">
        <v>1183</v>
      </c>
      <c r="AG37" s="5">
        <v>1358</v>
      </c>
      <c r="AH37" s="5">
        <v>1077</v>
      </c>
      <c r="AI37" s="5">
        <v>1076</v>
      </c>
      <c r="AJ37" s="5">
        <v>1076</v>
      </c>
      <c r="AK37" s="5">
        <v>1018</v>
      </c>
      <c r="AL37" s="5">
        <v>1362</v>
      </c>
      <c r="AM37" s="5">
        <v>1475</v>
      </c>
      <c r="AN37" s="5">
        <v>1450</v>
      </c>
      <c r="AO37" s="5">
        <v>1246</v>
      </c>
      <c r="AP37" s="5">
        <v>1454</v>
      </c>
      <c r="AQ37" s="5">
        <v>1459</v>
      </c>
      <c r="AR37" s="5">
        <v>1473</v>
      </c>
      <c r="AS37" s="5">
        <v>1335</v>
      </c>
      <c r="AT37" s="5">
        <v>1497</v>
      </c>
      <c r="AU37" s="5">
        <v>1245</v>
      </c>
      <c r="AV37" s="5">
        <v>1489</v>
      </c>
      <c r="AW37" s="5">
        <v>1402</v>
      </c>
      <c r="AX37" s="5">
        <v>1337</v>
      </c>
      <c r="AY37" s="5">
        <v>1201</v>
      </c>
      <c r="AZ37" s="5">
        <v>1474</v>
      </c>
      <c r="BA37" s="5">
        <v>1588</v>
      </c>
      <c r="BB37" s="5">
        <v>1119</v>
      </c>
    </row>
    <row r="38" spans="1:54" x14ac:dyDescent="0.2">
      <c r="A38" s="4"/>
      <c r="B38" s="4"/>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row>
    <row r="39" spans="1:54" x14ac:dyDescent="0.2">
      <c r="A39" s="18" t="s">
        <v>204</v>
      </c>
      <c r="B39" s="19"/>
      <c r="C39" s="20">
        <v>13946</v>
      </c>
      <c r="D39" s="20">
        <v>14899</v>
      </c>
      <c r="E39" s="20">
        <v>15800</v>
      </c>
      <c r="F39" s="20">
        <v>14241</v>
      </c>
      <c r="G39" s="20">
        <v>15414</v>
      </c>
      <c r="H39" s="20">
        <v>14100</v>
      </c>
      <c r="I39" s="20">
        <v>15134</v>
      </c>
      <c r="J39" s="20">
        <v>14228</v>
      </c>
      <c r="K39" s="20">
        <v>15679</v>
      </c>
      <c r="L39" s="20">
        <v>13832</v>
      </c>
      <c r="M39" s="20">
        <v>15810</v>
      </c>
      <c r="N39" s="20">
        <v>15385</v>
      </c>
      <c r="O39" s="20">
        <v>15554</v>
      </c>
      <c r="P39" s="20">
        <v>15912</v>
      </c>
      <c r="Q39" s="20">
        <v>15878</v>
      </c>
      <c r="R39" s="20">
        <v>14191</v>
      </c>
      <c r="S39" s="20">
        <v>14284</v>
      </c>
      <c r="T39" s="20">
        <v>12744</v>
      </c>
      <c r="U39" s="20">
        <v>13856</v>
      </c>
      <c r="V39" s="20">
        <v>13333</v>
      </c>
      <c r="W39" s="20">
        <v>12418</v>
      </c>
      <c r="X39" s="20">
        <v>12386</v>
      </c>
      <c r="Y39" s="20">
        <v>12795</v>
      </c>
      <c r="Z39" s="20">
        <v>13316</v>
      </c>
      <c r="AA39" s="20">
        <v>13317</v>
      </c>
      <c r="AB39" s="20">
        <v>13784</v>
      </c>
      <c r="AC39" s="20">
        <v>14445</v>
      </c>
      <c r="AD39" s="20">
        <v>14341</v>
      </c>
      <c r="AE39" s="20">
        <v>13497</v>
      </c>
      <c r="AF39" s="20">
        <v>13954</v>
      </c>
      <c r="AG39" s="20">
        <v>13591</v>
      </c>
      <c r="AH39" s="20">
        <v>12167</v>
      </c>
      <c r="AI39" s="20">
        <v>14215</v>
      </c>
      <c r="AJ39" s="20">
        <v>12580</v>
      </c>
      <c r="AK39" s="20">
        <v>14467</v>
      </c>
      <c r="AL39" s="20">
        <v>15651</v>
      </c>
      <c r="AM39" s="20">
        <v>16259</v>
      </c>
      <c r="AN39" s="20">
        <v>14301</v>
      </c>
      <c r="AO39" s="20">
        <v>16635</v>
      </c>
      <c r="AP39" s="20">
        <v>17801</v>
      </c>
      <c r="AQ39" s="20">
        <v>15321</v>
      </c>
      <c r="AR39" s="20">
        <v>16137</v>
      </c>
      <c r="AS39" s="20">
        <v>15242</v>
      </c>
      <c r="AT39" s="20">
        <v>15280</v>
      </c>
      <c r="AU39" s="20">
        <v>15032</v>
      </c>
      <c r="AV39" s="20">
        <v>14837</v>
      </c>
      <c r="AW39" s="20">
        <v>13362</v>
      </c>
      <c r="AX39" s="20">
        <v>13962</v>
      </c>
      <c r="AY39" s="20">
        <v>14464</v>
      </c>
      <c r="AZ39" s="20">
        <v>17298</v>
      </c>
      <c r="BA39" s="20">
        <v>15496</v>
      </c>
      <c r="BB39" s="20">
        <v>11385</v>
      </c>
    </row>
    <row r="40" spans="1:54" x14ac:dyDescent="0.2">
      <c r="A40" s="12"/>
      <c r="B40" s="15"/>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row>
    <row r="41" spans="1:54" x14ac:dyDescent="0.2">
      <c r="A41" s="12"/>
      <c r="B41" s="15" t="s">
        <v>205</v>
      </c>
      <c r="C41" s="13">
        <v>36996</v>
      </c>
      <c r="D41" s="13">
        <v>43544</v>
      </c>
      <c r="E41" s="13">
        <v>46433</v>
      </c>
      <c r="F41" s="13">
        <v>46819</v>
      </c>
      <c r="G41" s="13">
        <v>47410</v>
      </c>
      <c r="H41" s="13">
        <v>44386</v>
      </c>
      <c r="I41" s="13">
        <v>43946</v>
      </c>
      <c r="J41" s="13">
        <v>47036</v>
      </c>
      <c r="K41" s="13">
        <v>42865</v>
      </c>
      <c r="L41" s="13">
        <v>41556</v>
      </c>
      <c r="M41" s="13">
        <v>42915</v>
      </c>
      <c r="N41" s="13">
        <v>43957</v>
      </c>
      <c r="O41" s="13">
        <v>45868</v>
      </c>
      <c r="P41" s="13">
        <v>44810</v>
      </c>
      <c r="Q41" s="13">
        <v>44884</v>
      </c>
      <c r="R41" s="13">
        <v>47530</v>
      </c>
      <c r="S41" s="13">
        <v>47093</v>
      </c>
      <c r="T41" s="13">
        <v>48353</v>
      </c>
      <c r="U41" s="13">
        <v>50163</v>
      </c>
      <c r="V41" s="13">
        <v>49257</v>
      </c>
      <c r="W41" s="13">
        <v>47151</v>
      </c>
      <c r="X41" s="13">
        <v>49217</v>
      </c>
      <c r="Y41" s="13">
        <v>50856</v>
      </c>
      <c r="Z41" s="13">
        <v>49897</v>
      </c>
      <c r="AA41" s="13">
        <v>49100</v>
      </c>
      <c r="AB41" s="13">
        <v>49171</v>
      </c>
      <c r="AC41" s="13">
        <v>46993</v>
      </c>
      <c r="AD41" s="13">
        <v>49935</v>
      </c>
      <c r="AE41" s="13">
        <v>50118</v>
      </c>
      <c r="AF41" s="13">
        <v>53072</v>
      </c>
      <c r="AG41" s="13">
        <v>50737</v>
      </c>
      <c r="AH41" s="13">
        <v>53244</v>
      </c>
      <c r="AI41" s="13">
        <v>52931</v>
      </c>
      <c r="AJ41" s="13">
        <v>52312</v>
      </c>
      <c r="AK41" s="13">
        <v>50176</v>
      </c>
      <c r="AL41" s="13">
        <v>46053</v>
      </c>
      <c r="AM41" s="13">
        <v>52995</v>
      </c>
      <c r="AN41" s="13">
        <v>53322</v>
      </c>
      <c r="AO41" s="13">
        <v>53120</v>
      </c>
      <c r="AP41" s="13">
        <v>52390</v>
      </c>
      <c r="AQ41" s="13">
        <v>52043</v>
      </c>
      <c r="AR41" s="13">
        <v>51468</v>
      </c>
      <c r="AS41" s="13">
        <v>49466</v>
      </c>
      <c r="AT41" s="13">
        <v>49717</v>
      </c>
      <c r="AU41" s="13">
        <v>50282</v>
      </c>
      <c r="AV41" s="13">
        <v>50919</v>
      </c>
      <c r="AW41" s="13">
        <v>46605</v>
      </c>
      <c r="AX41" s="13">
        <v>52091</v>
      </c>
      <c r="AY41" s="13">
        <v>50514</v>
      </c>
      <c r="AZ41" s="13">
        <v>50576</v>
      </c>
      <c r="BA41" s="13">
        <v>49755</v>
      </c>
      <c r="BB41" s="13">
        <v>36963</v>
      </c>
    </row>
    <row r="42" spans="1:54" x14ac:dyDescent="0.2">
      <c r="A42" s="12"/>
      <c r="B42" s="15" t="s">
        <v>206</v>
      </c>
      <c r="C42" s="13">
        <v>0</v>
      </c>
      <c r="D42" s="13">
        <v>0</v>
      </c>
      <c r="E42" s="13">
        <v>0</v>
      </c>
      <c r="F42" s="13">
        <v>0</v>
      </c>
      <c r="G42" s="13">
        <v>0</v>
      </c>
      <c r="H42" s="13">
        <v>0</v>
      </c>
      <c r="I42" s="13">
        <v>0</v>
      </c>
      <c r="J42" s="13">
        <v>0</v>
      </c>
      <c r="K42" s="13">
        <v>0</v>
      </c>
      <c r="L42" s="13">
        <v>0</v>
      </c>
      <c r="M42" s="13">
        <v>0</v>
      </c>
      <c r="N42" s="13">
        <v>0</v>
      </c>
      <c r="O42" s="13">
        <v>0</v>
      </c>
      <c r="P42" s="13">
        <v>0</v>
      </c>
      <c r="Q42" s="13">
        <v>0</v>
      </c>
      <c r="R42" s="13">
        <v>0</v>
      </c>
      <c r="S42" s="13">
        <v>0</v>
      </c>
      <c r="T42" s="13">
        <v>0</v>
      </c>
      <c r="U42" s="13">
        <v>2</v>
      </c>
      <c r="V42" s="13">
        <v>0</v>
      </c>
      <c r="W42" s="13">
        <v>2</v>
      </c>
      <c r="X42" s="13">
        <v>0</v>
      </c>
      <c r="Y42" s="13">
        <v>2</v>
      </c>
      <c r="Z42" s="13">
        <v>0</v>
      </c>
      <c r="AA42" s="13">
        <v>0</v>
      </c>
      <c r="AB42" s="13">
        <v>0</v>
      </c>
      <c r="AC42" s="13">
        <v>0</v>
      </c>
      <c r="AD42" s="13">
        <v>0</v>
      </c>
      <c r="AE42" s="13">
        <v>0</v>
      </c>
      <c r="AF42" s="13">
        <v>0</v>
      </c>
      <c r="AG42" s="13">
        <v>0</v>
      </c>
      <c r="AH42" s="13">
        <v>0</v>
      </c>
      <c r="AI42" s="13">
        <v>0</v>
      </c>
      <c r="AJ42" s="13">
        <v>0</v>
      </c>
      <c r="AK42" s="13">
        <v>0</v>
      </c>
      <c r="AL42" s="13">
        <v>0</v>
      </c>
      <c r="AM42" s="13">
        <v>0</v>
      </c>
      <c r="AN42" s="13">
        <v>0</v>
      </c>
      <c r="AO42" s="13">
        <v>0</v>
      </c>
      <c r="AP42" s="13">
        <v>0</v>
      </c>
      <c r="AQ42" s="13">
        <v>0</v>
      </c>
      <c r="AR42" s="13">
        <v>0</v>
      </c>
      <c r="AS42" s="13">
        <v>0</v>
      </c>
      <c r="AT42" s="13">
        <v>0</v>
      </c>
      <c r="AU42" s="13">
        <v>0</v>
      </c>
      <c r="AV42" s="13">
        <v>0</v>
      </c>
      <c r="AW42" s="13">
        <v>0</v>
      </c>
      <c r="AX42" s="13">
        <v>0</v>
      </c>
      <c r="AY42" s="13">
        <v>0</v>
      </c>
      <c r="AZ42" s="13">
        <v>0</v>
      </c>
      <c r="BA42" s="13">
        <v>0</v>
      </c>
      <c r="BB42" s="13">
        <v>0</v>
      </c>
    </row>
    <row r="43" spans="1:54" x14ac:dyDescent="0.2">
      <c r="A43" s="12"/>
      <c r="B43" s="15"/>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row>
    <row r="44" spans="1:54" x14ac:dyDescent="0.2">
      <c r="A44" s="18" t="s">
        <v>207</v>
      </c>
      <c r="B44" s="18"/>
      <c r="C44" s="20">
        <v>36996</v>
      </c>
      <c r="D44" s="20">
        <v>43544</v>
      </c>
      <c r="E44" s="20">
        <v>46433</v>
      </c>
      <c r="F44" s="20">
        <v>46819</v>
      </c>
      <c r="G44" s="20">
        <v>47410</v>
      </c>
      <c r="H44" s="20">
        <v>44386</v>
      </c>
      <c r="I44" s="20">
        <v>43946</v>
      </c>
      <c r="J44" s="20">
        <v>47036</v>
      </c>
      <c r="K44" s="20">
        <v>42865</v>
      </c>
      <c r="L44" s="20">
        <v>41556</v>
      </c>
      <c r="M44" s="20">
        <v>42915</v>
      </c>
      <c r="N44" s="20">
        <v>43957</v>
      </c>
      <c r="O44" s="20">
        <v>45868</v>
      </c>
      <c r="P44" s="20">
        <v>44810</v>
      </c>
      <c r="Q44" s="20">
        <v>44884</v>
      </c>
      <c r="R44" s="20">
        <v>47530</v>
      </c>
      <c r="S44" s="20">
        <v>47093</v>
      </c>
      <c r="T44" s="20">
        <v>48353</v>
      </c>
      <c r="U44" s="20">
        <v>50165</v>
      </c>
      <c r="V44" s="20">
        <v>49257</v>
      </c>
      <c r="W44" s="20">
        <v>47153</v>
      </c>
      <c r="X44" s="20">
        <v>49217</v>
      </c>
      <c r="Y44" s="20">
        <v>50858</v>
      </c>
      <c r="Z44" s="20">
        <v>49897</v>
      </c>
      <c r="AA44" s="20">
        <v>49100</v>
      </c>
      <c r="AB44" s="20">
        <v>49171</v>
      </c>
      <c r="AC44" s="20">
        <v>46993</v>
      </c>
      <c r="AD44" s="20">
        <v>49935</v>
      </c>
      <c r="AE44" s="20">
        <v>50118</v>
      </c>
      <c r="AF44" s="20">
        <v>53072</v>
      </c>
      <c r="AG44" s="20">
        <v>50737</v>
      </c>
      <c r="AH44" s="20">
        <v>53244</v>
      </c>
      <c r="AI44" s="20">
        <v>52931</v>
      </c>
      <c r="AJ44" s="20">
        <v>52312</v>
      </c>
      <c r="AK44" s="20">
        <v>50176</v>
      </c>
      <c r="AL44" s="20">
        <v>46053</v>
      </c>
      <c r="AM44" s="20">
        <v>52995</v>
      </c>
      <c r="AN44" s="20">
        <v>53322</v>
      </c>
      <c r="AO44" s="20">
        <v>53120</v>
      </c>
      <c r="AP44" s="20">
        <v>52390</v>
      </c>
      <c r="AQ44" s="20">
        <v>52043</v>
      </c>
      <c r="AR44" s="20">
        <v>51468</v>
      </c>
      <c r="AS44" s="20">
        <v>49466</v>
      </c>
      <c r="AT44" s="20">
        <v>49717</v>
      </c>
      <c r="AU44" s="20">
        <v>50282</v>
      </c>
      <c r="AV44" s="20">
        <v>50919</v>
      </c>
      <c r="AW44" s="20">
        <v>46605</v>
      </c>
      <c r="AX44" s="20">
        <v>52091</v>
      </c>
      <c r="AY44" s="20">
        <v>50514</v>
      </c>
      <c r="AZ44" s="20">
        <v>50576</v>
      </c>
      <c r="BA44" s="20">
        <v>49755</v>
      </c>
      <c r="BB44" s="20">
        <v>36963</v>
      </c>
    </row>
    <row r="45" spans="1:54" x14ac:dyDescent="0.2">
      <c r="A45" s="12"/>
      <c r="B45" s="14"/>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row>
    <row r="46" spans="1:54" ht="13.5" thickBot="1" x14ac:dyDescent="0.25">
      <c r="A46" s="21" t="s">
        <v>208</v>
      </c>
      <c r="B46" s="22"/>
      <c r="C46" s="23">
        <v>93552</v>
      </c>
      <c r="D46" s="23">
        <v>103726</v>
      </c>
      <c r="E46" s="23">
        <v>110474</v>
      </c>
      <c r="F46" s="23">
        <v>108807</v>
      </c>
      <c r="G46" s="23">
        <v>110583</v>
      </c>
      <c r="H46" s="23">
        <v>105155</v>
      </c>
      <c r="I46" s="23">
        <v>107230</v>
      </c>
      <c r="J46" s="23">
        <v>109854</v>
      </c>
      <c r="K46" s="23">
        <v>105803</v>
      </c>
      <c r="L46" s="23">
        <v>102298</v>
      </c>
      <c r="M46" s="23">
        <v>107136</v>
      </c>
      <c r="N46" s="23">
        <v>107724</v>
      </c>
      <c r="O46" s="23">
        <v>106967</v>
      </c>
      <c r="P46" s="23">
        <v>105648</v>
      </c>
      <c r="Q46" s="23">
        <v>108930</v>
      </c>
      <c r="R46" s="23">
        <v>110369</v>
      </c>
      <c r="S46" s="23">
        <v>110464</v>
      </c>
      <c r="T46" s="23">
        <v>110574</v>
      </c>
      <c r="U46" s="23">
        <v>110849</v>
      </c>
      <c r="V46" s="23">
        <v>109781</v>
      </c>
      <c r="W46" s="23">
        <v>107465</v>
      </c>
      <c r="X46" s="23">
        <v>108531</v>
      </c>
      <c r="Y46" s="23">
        <v>111858</v>
      </c>
      <c r="Z46" s="23">
        <v>109503</v>
      </c>
      <c r="AA46" s="23">
        <v>109064</v>
      </c>
      <c r="AB46" s="23">
        <v>111226</v>
      </c>
      <c r="AC46" s="23">
        <v>104924</v>
      </c>
      <c r="AD46" s="23">
        <v>109918</v>
      </c>
      <c r="AE46" s="23">
        <v>109438</v>
      </c>
      <c r="AF46" s="23">
        <v>115804</v>
      </c>
      <c r="AG46" s="23">
        <v>111243</v>
      </c>
      <c r="AH46" s="23">
        <v>112886</v>
      </c>
      <c r="AI46" s="23">
        <v>113360</v>
      </c>
      <c r="AJ46" s="23">
        <v>115086</v>
      </c>
      <c r="AK46" s="23">
        <v>114151</v>
      </c>
      <c r="AL46" s="23">
        <v>109486</v>
      </c>
      <c r="AM46" s="23">
        <v>118936</v>
      </c>
      <c r="AN46" s="23">
        <v>116870</v>
      </c>
      <c r="AO46" s="23">
        <v>119484</v>
      </c>
      <c r="AP46" s="23">
        <v>116830</v>
      </c>
      <c r="AQ46" s="23">
        <v>114910</v>
      </c>
      <c r="AR46" s="23">
        <v>115512</v>
      </c>
      <c r="AS46" s="23">
        <v>113039</v>
      </c>
      <c r="AT46" s="23">
        <v>113369</v>
      </c>
      <c r="AU46" s="23">
        <v>112810</v>
      </c>
      <c r="AV46" s="23">
        <v>114233</v>
      </c>
      <c r="AW46" s="23">
        <v>107471</v>
      </c>
      <c r="AX46" s="23">
        <v>117201</v>
      </c>
      <c r="AY46" s="23">
        <v>113775</v>
      </c>
      <c r="AZ46" s="23">
        <v>114329</v>
      </c>
      <c r="BA46" s="23">
        <v>114623</v>
      </c>
      <c r="BB46" s="23">
        <v>85200</v>
      </c>
    </row>
    <row r="47" spans="1:54" ht="13.5" thickTop="1" x14ac:dyDescent="0.2">
      <c r="A47" s="42"/>
      <c r="B47" s="42"/>
      <c r="C47" s="43"/>
      <c r="D47" s="42"/>
      <c r="E47" s="42"/>
      <c r="F47" s="42"/>
      <c r="G47" s="42"/>
      <c r="H47" s="42"/>
      <c r="I47" s="42"/>
      <c r="J47" s="42"/>
      <c r="K47" s="42"/>
      <c r="L47" s="42"/>
      <c r="M47" s="42"/>
      <c r="N47" s="42"/>
      <c r="O47" s="42"/>
      <c r="P47" s="42"/>
      <c r="Q47" s="42"/>
      <c r="R47" s="42"/>
      <c r="S47" s="42"/>
      <c r="T47" s="42"/>
      <c r="U47" s="42"/>
      <c r="V47" s="42"/>
      <c r="W47" s="42"/>
      <c r="X47" s="42"/>
      <c r="Y47" s="42"/>
      <c r="Z47" s="42"/>
      <c r="AA47" s="42"/>
      <c r="AB47" s="42"/>
      <c r="AC47" s="42"/>
      <c r="AD47" s="42"/>
      <c r="AE47" s="42"/>
      <c r="AF47" s="42"/>
      <c r="AG47" s="42"/>
      <c r="AH47" s="42"/>
      <c r="AI47" s="42"/>
      <c r="AJ47" s="42"/>
      <c r="AK47" s="42"/>
      <c r="AL47" s="42"/>
      <c r="AM47" s="42"/>
      <c r="AN47" s="42"/>
      <c r="AO47" s="42"/>
      <c r="AP47" s="42"/>
      <c r="AQ47" s="42"/>
      <c r="AR47" s="42"/>
      <c r="AS47" s="42"/>
      <c r="AT47" s="42"/>
      <c r="AU47" s="42"/>
      <c r="AV47" s="42"/>
      <c r="AW47" s="42"/>
      <c r="AX47" s="42"/>
      <c r="AY47" s="42"/>
      <c r="AZ47" s="42"/>
      <c r="BA47" s="42"/>
      <c r="BB47" s="42"/>
    </row>
    <row r="48" spans="1:54" x14ac:dyDescent="0.2">
      <c r="A48" s="42"/>
      <c r="B48" s="42"/>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2"/>
      <c r="AD48" s="42"/>
      <c r="AE48" s="42"/>
      <c r="AF48" s="42"/>
      <c r="AG48" s="42"/>
      <c r="AH48" s="42"/>
      <c r="AI48" s="42"/>
      <c r="AJ48" s="42"/>
      <c r="AK48" s="42"/>
      <c r="AL48" s="42"/>
      <c r="AM48" s="42"/>
      <c r="AN48" s="42"/>
      <c r="AO48" s="42"/>
      <c r="AP48" s="42"/>
      <c r="AQ48" s="42"/>
      <c r="AR48" s="42"/>
      <c r="AS48" s="42"/>
      <c r="AT48" s="42"/>
      <c r="AU48" s="42"/>
      <c r="AV48" s="42"/>
      <c r="AW48" s="42"/>
      <c r="AX48" s="42"/>
      <c r="AY48" s="42"/>
      <c r="AZ48" s="42"/>
      <c r="BA48" s="42"/>
      <c r="BB48" s="42"/>
    </row>
    <row r="49" spans="1:54" ht="13.5" thickBot="1" x14ac:dyDescent="0.25">
      <c r="A49" s="46" t="s">
        <v>209</v>
      </c>
      <c r="B49" s="22"/>
      <c r="C49" s="23">
        <v>4120.2406739999997</v>
      </c>
      <c r="D49" s="23">
        <v>4529.2155899999998</v>
      </c>
      <c r="E49" s="23">
        <v>4743.0109479999992</v>
      </c>
      <c r="F49" s="23">
        <v>4639.2323649999998</v>
      </c>
      <c r="G49" s="23">
        <v>4754.9293349999998</v>
      </c>
      <c r="H49" s="23">
        <v>4416.2690750000002</v>
      </c>
      <c r="I49" s="23">
        <v>4706.4834259999998</v>
      </c>
      <c r="J49" s="23">
        <v>4666.068933999999</v>
      </c>
      <c r="K49" s="23">
        <v>4805.886829</v>
      </c>
      <c r="L49" s="23">
        <v>4397.172415</v>
      </c>
      <c r="M49" s="23">
        <v>4837.4479960000017</v>
      </c>
      <c r="N49" s="23">
        <v>4726.5922210000008</v>
      </c>
      <c r="O49" s="23">
        <v>4900.441699</v>
      </c>
      <c r="P49" s="23">
        <v>4893.4706580000002</v>
      </c>
      <c r="Q49" s="23">
        <v>4601.2177780000011</v>
      </c>
      <c r="R49" s="23">
        <v>4509.8236109999998</v>
      </c>
      <c r="S49" s="23">
        <v>4514.9764069999992</v>
      </c>
      <c r="T49" s="23">
        <v>4565.7517120000002</v>
      </c>
      <c r="U49" s="23">
        <v>4528.1237459999993</v>
      </c>
      <c r="V49" s="23">
        <v>4464.4378800000004</v>
      </c>
      <c r="W49" s="23">
        <v>4295.9687400000003</v>
      </c>
      <c r="X49" s="23">
        <v>4355.728028999999</v>
      </c>
      <c r="Y49" s="23">
        <v>4628.9750049999993</v>
      </c>
      <c r="Z49" s="23">
        <v>4514.0460989999983</v>
      </c>
      <c r="AA49" s="23">
        <v>4401.3118839999997</v>
      </c>
      <c r="AB49" s="23">
        <v>4508.2058610000004</v>
      </c>
      <c r="AC49" s="23">
        <v>4262.8742499999998</v>
      </c>
      <c r="AD49" s="23">
        <v>4476.8019879999993</v>
      </c>
      <c r="AE49" s="23">
        <v>4392.3040690000007</v>
      </c>
      <c r="AF49" s="23">
        <v>4723.5266620000002</v>
      </c>
      <c r="AG49" s="23">
        <v>4247.3191389999993</v>
      </c>
      <c r="AH49" s="23">
        <v>4110.6228970000002</v>
      </c>
      <c r="AI49" s="23">
        <v>4491.3801999999996</v>
      </c>
      <c r="AJ49" s="23">
        <v>4387.1391739999999</v>
      </c>
      <c r="AK49" s="23">
        <v>4443.6552630000006</v>
      </c>
      <c r="AL49" s="23">
        <v>4468.5152790000002</v>
      </c>
      <c r="AM49" s="23">
        <v>4982.174144999999</v>
      </c>
      <c r="AN49" s="23">
        <v>4732.5523010000006</v>
      </c>
      <c r="AO49" s="23">
        <v>4813.9283340000002</v>
      </c>
      <c r="AP49" s="23">
        <v>4695.8638259999998</v>
      </c>
      <c r="AQ49" s="23">
        <v>4763.1135640000002</v>
      </c>
      <c r="AR49" s="23">
        <v>4778.1392959999994</v>
      </c>
      <c r="AS49" s="23">
        <v>4624.3947710000011</v>
      </c>
      <c r="AT49" s="23">
        <v>4521.3963430000003</v>
      </c>
      <c r="AU49" s="23">
        <v>4622.7356660000005</v>
      </c>
      <c r="AV49" s="23">
        <v>4721.8216670000011</v>
      </c>
      <c r="AW49" s="23">
        <v>4321.8570800000007</v>
      </c>
      <c r="AX49" s="23">
        <v>4807.0918030000003</v>
      </c>
      <c r="AY49" s="23">
        <v>4533.4235150000004</v>
      </c>
      <c r="AZ49" s="23">
        <v>4818.7710820000002</v>
      </c>
      <c r="BA49" s="23">
        <v>4569.9431349999995</v>
      </c>
      <c r="BB49" s="23">
        <v>3298.3462919999993</v>
      </c>
    </row>
    <row r="50" spans="1:54" ht="13.5" thickTop="1" x14ac:dyDescent="0.2">
      <c r="A50" s="42"/>
      <c r="B50" s="42"/>
      <c r="C50" s="43"/>
      <c r="D50" s="42"/>
      <c r="E50" s="42"/>
      <c r="F50" s="42"/>
      <c r="G50" s="42"/>
      <c r="H50" s="42"/>
      <c r="I50" s="42"/>
      <c r="J50" s="42"/>
      <c r="K50" s="42"/>
      <c r="L50" s="42"/>
      <c r="M50" s="42"/>
      <c r="N50" s="42"/>
      <c r="O50" s="42"/>
      <c r="P50" s="42"/>
      <c r="Q50" s="42"/>
      <c r="R50" s="42"/>
      <c r="S50" s="42"/>
      <c r="T50" s="42"/>
      <c r="U50" s="42"/>
      <c r="V50" s="42"/>
      <c r="W50" s="42"/>
      <c r="X50" s="42"/>
      <c r="Y50" s="42"/>
      <c r="Z50" s="42"/>
      <c r="AA50" s="42"/>
      <c r="AB50" s="42"/>
      <c r="AC50" s="42"/>
      <c r="AD50" s="42"/>
      <c r="AE50" s="42"/>
      <c r="AF50" s="42"/>
      <c r="AG50" s="42"/>
      <c r="AH50" s="42"/>
      <c r="AI50" s="42"/>
      <c r="AJ50" s="42"/>
      <c r="AK50" s="42"/>
      <c r="AL50" s="42"/>
      <c r="AM50" s="42"/>
      <c r="AN50" s="42"/>
      <c r="AO50" s="42"/>
      <c r="AP50" s="42"/>
      <c r="AQ50" s="42"/>
      <c r="AR50" s="42"/>
      <c r="AS50" s="42"/>
      <c r="AT50" s="42"/>
      <c r="AU50" s="42"/>
      <c r="AV50" s="42"/>
      <c r="AW50" s="42"/>
      <c r="AX50" s="42"/>
      <c r="AY50" s="42"/>
      <c r="AZ50" s="42"/>
      <c r="BA50" s="42"/>
      <c r="BB50" s="42"/>
    </row>
  </sheetData>
  <sheetProtection algorithmName="SHA-512" hashValue="5CO/USD7ka4CvF9PagHUTeqkOaZ6LgEZZb+uhkOfOUKjDRsYYWRo9xf/VaWlzVEI0nBYOSkrA0Z9U+8GpfT5bw==" saltValue="UMYNqgqd/K7LpOTtWngZ+g==" spinCount="100000" sheet="1" objects="1" scenarios="1"/>
  <mergeCells count="1">
    <mergeCell ref="A1:BC1"/>
  </mergeCells>
  <pageMargins left="0.17" right="0.17" top="0.17" bottom="0.5" header="0.17" footer="0.5"/>
  <pageSetup scale="70" fitToWidth="0" orientation="landscape" r:id="rId1"/>
  <headerFooter alignWithMargins="0"/>
  <colBreaks count="3" manualBreakCount="3">
    <brk id="15" max="48" man="1"/>
    <brk id="28" max="48" man="1"/>
    <brk id="41" max="48"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4">
    <tabColor rgb="FFFF0000"/>
  </sheetPr>
  <dimension ref="A1:BC50"/>
  <sheetViews>
    <sheetView workbookViewId="0">
      <selection activeCell="C22" sqref="C22"/>
    </sheetView>
  </sheetViews>
  <sheetFormatPr defaultColWidth="6.7109375" defaultRowHeight="12.75" x14ac:dyDescent="0.2"/>
  <cols>
    <col min="1" max="1" width="7.28515625" style="42" customWidth="1"/>
    <col min="2" max="2" width="53" style="42" bestFit="1" customWidth="1"/>
    <col min="3" max="3" width="9.42578125" style="43" customWidth="1"/>
    <col min="4" max="53" width="9.42578125" style="42" customWidth="1"/>
    <col min="54" max="54" width="9" style="42" customWidth="1"/>
    <col min="55" max="16384" width="6.7109375" style="42"/>
  </cols>
  <sheetData>
    <row r="1" spans="1:55" ht="54" customHeight="1" x14ac:dyDescent="0.4">
      <c r="A1" s="143" t="s">
        <v>221</v>
      </c>
      <c r="B1" s="144"/>
      <c r="C1" s="144"/>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c r="AH1" s="144"/>
      <c r="AI1" s="144"/>
      <c r="AJ1" s="144"/>
      <c r="AK1" s="144"/>
      <c r="AL1" s="144"/>
      <c r="AM1" s="144"/>
      <c r="AN1" s="144"/>
      <c r="AO1" s="144"/>
      <c r="AP1" s="144"/>
      <c r="AQ1" s="144"/>
      <c r="AR1" s="144"/>
      <c r="AS1" s="144"/>
      <c r="AT1" s="144"/>
      <c r="AU1" s="144"/>
      <c r="AV1" s="144"/>
      <c r="AW1" s="144"/>
      <c r="AX1" s="144"/>
      <c r="AY1" s="144"/>
      <c r="AZ1" s="144"/>
      <c r="BA1" s="144"/>
      <c r="BB1" s="144"/>
      <c r="BC1" s="144"/>
    </row>
    <row r="2" spans="1:55" ht="13.5" thickBot="1" x14ac:dyDescent="0.25">
      <c r="A2" s="4"/>
      <c r="B2" s="7" t="s">
        <v>178</v>
      </c>
      <c r="C2" s="5">
        <v>1</v>
      </c>
      <c r="D2" s="5">
        <v>2</v>
      </c>
      <c r="E2" s="5">
        <v>3</v>
      </c>
      <c r="F2" s="5">
        <v>4</v>
      </c>
      <c r="G2" s="5">
        <v>5</v>
      </c>
      <c r="H2" s="5">
        <v>6</v>
      </c>
      <c r="I2" s="5">
        <v>7</v>
      </c>
      <c r="J2" s="5">
        <v>8</v>
      </c>
      <c r="K2" s="5">
        <v>9</v>
      </c>
      <c r="L2" s="5">
        <v>10</v>
      </c>
      <c r="M2" s="5">
        <v>11</v>
      </c>
      <c r="N2" s="5">
        <v>12</v>
      </c>
      <c r="O2" s="5">
        <v>13</v>
      </c>
      <c r="P2" s="5">
        <v>14</v>
      </c>
      <c r="Q2" s="5">
        <v>15</v>
      </c>
      <c r="R2" s="5">
        <v>16</v>
      </c>
      <c r="S2" s="5">
        <v>17</v>
      </c>
      <c r="T2" s="5">
        <v>18</v>
      </c>
      <c r="U2" s="5">
        <v>19</v>
      </c>
      <c r="V2" s="5">
        <v>20</v>
      </c>
      <c r="W2" s="5">
        <v>21</v>
      </c>
      <c r="X2" s="5">
        <v>22</v>
      </c>
      <c r="Y2" s="5">
        <v>23</v>
      </c>
      <c r="Z2" s="5">
        <v>24</v>
      </c>
      <c r="AA2" s="5">
        <v>25</v>
      </c>
      <c r="AB2" s="5">
        <v>26</v>
      </c>
      <c r="AC2" s="5">
        <v>27</v>
      </c>
      <c r="AD2" s="5">
        <v>28</v>
      </c>
      <c r="AE2" s="5">
        <v>29</v>
      </c>
      <c r="AF2" s="5">
        <v>30</v>
      </c>
      <c r="AG2" s="5">
        <v>31</v>
      </c>
      <c r="AH2" s="5">
        <v>32</v>
      </c>
      <c r="AI2" s="5">
        <v>33</v>
      </c>
      <c r="AJ2" s="5">
        <v>34</v>
      </c>
      <c r="AK2" s="5">
        <v>35</v>
      </c>
      <c r="AL2" s="5">
        <v>36</v>
      </c>
      <c r="AM2" s="5">
        <v>37</v>
      </c>
      <c r="AN2" s="5">
        <v>38</v>
      </c>
      <c r="AO2" s="5">
        <v>39</v>
      </c>
      <c r="AP2" s="5">
        <v>40</v>
      </c>
      <c r="AQ2" s="5">
        <v>41</v>
      </c>
      <c r="AR2" s="5">
        <v>42</v>
      </c>
      <c r="AS2" s="5">
        <v>43</v>
      </c>
      <c r="AT2" s="5">
        <v>44</v>
      </c>
      <c r="AU2" s="5">
        <v>45</v>
      </c>
      <c r="AV2" s="5">
        <v>46</v>
      </c>
      <c r="AW2" s="5">
        <v>47</v>
      </c>
      <c r="AX2" s="5">
        <v>48</v>
      </c>
      <c r="AY2" s="5">
        <v>49</v>
      </c>
      <c r="AZ2" s="5">
        <v>50</v>
      </c>
      <c r="BA2" s="5">
        <v>51</v>
      </c>
      <c r="BB2" s="5">
        <v>52</v>
      </c>
    </row>
    <row r="3" spans="1:55" s="45" customFormat="1" ht="24.75" thickBot="1" x14ac:dyDescent="0.25">
      <c r="A3" s="6"/>
      <c r="B3" s="50" t="s">
        <v>179</v>
      </c>
      <c r="C3" s="51">
        <v>42372</v>
      </c>
      <c r="D3" s="51">
        <v>42379</v>
      </c>
      <c r="E3" s="51">
        <v>42386</v>
      </c>
      <c r="F3" s="51">
        <v>42393</v>
      </c>
      <c r="G3" s="51">
        <v>42400</v>
      </c>
      <c r="H3" s="51">
        <v>42407</v>
      </c>
      <c r="I3" s="51">
        <v>42414</v>
      </c>
      <c r="J3" s="51">
        <v>42421</v>
      </c>
      <c r="K3" s="51">
        <v>42428</v>
      </c>
      <c r="L3" s="51">
        <v>42435</v>
      </c>
      <c r="M3" s="51">
        <v>42442</v>
      </c>
      <c r="N3" s="51">
        <v>42449</v>
      </c>
      <c r="O3" s="51">
        <v>42456</v>
      </c>
      <c r="P3" s="51">
        <v>42463</v>
      </c>
      <c r="Q3" s="51">
        <v>42470</v>
      </c>
      <c r="R3" s="51">
        <v>42477</v>
      </c>
      <c r="S3" s="51">
        <v>42484</v>
      </c>
      <c r="T3" s="51">
        <v>42491</v>
      </c>
      <c r="U3" s="51">
        <v>42498</v>
      </c>
      <c r="V3" s="51">
        <v>42505</v>
      </c>
      <c r="W3" s="51">
        <v>42512</v>
      </c>
      <c r="X3" s="51">
        <v>42519</v>
      </c>
      <c r="Y3" s="51">
        <v>42526</v>
      </c>
      <c r="Z3" s="51">
        <v>42533</v>
      </c>
      <c r="AA3" s="51">
        <v>42540</v>
      </c>
      <c r="AB3" s="51">
        <v>42547</v>
      </c>
      <c r="AC3" s="51">
        <v>42554</v>
      </c>
      <c r="AD3" s="51">
        <v>42561</v>
      </c>
      <c r="AE3" s="51">
        <v>42568</v>
      </c>
      <c r="AF3" s="51">
        <v>42575</v>
      </c>
      <c r="AG3" s="51">
        <v>42582</v>
      </c>
      <c r="AH3" s="51">
        <v>42589</v>
      </c>
      <c r="AI3" s="51">
        <v>42596</v>
      </c>
      <c r="AJ3" s="51">
        <v>42603</v>
      </c>
      <c r="AK3" s="51">
        <v>42610</v>
      </c>
      <c r="AL3" s="51">
        <v>42617</v>
      </c>
      <c r="AM3" s="51">
        <v>42624</v>
      </c>
      <c r="AN3" s="51">
        <v>42631</v>
      </c>
      <c r="AO3" s="51">
        <v>42638</v>
      </c>
      <c r="AP3" s="51">
        <v>42645</v>
      </c>
      <c r="AQ3" s="51">
        <v>42652</v>
      </c>
      <c r="AR3" s="51">
        <v>42659</v>
      </c>
      <c r="AS3" s="51">
        <v>42666</v>
      </c>
      <c r="AT3" s="51">
        <v>42673</v>
      </c>
      <c r="AU3" s="51">
        <v>42680</v>
      </c>
      <c r="AV3" s="51">
        <v>42687</v>
      </c>
      <c r="AW3" s="51">
        <v>42694</v>
      </c>
      <c r="AX3" s="51">
        <v>42701</v>
      </c>
      <c r="AY3" s="51">
        <v>42708</v>
      </c>
      <c r="AZ3" s="51">
        <v>42715</v>
      </c>
      <c r="BA3" s="51">
        <v>42722</v>
      </c>
      <c r="BB3" s="51">
        <v>42729</v>
      </c>
      <c r="BC3" s="52"/>
    </row>
    <row r="4" spans="1:55" x14ac:dyDescent="0.2">
      <c r="A4" s="9" t="s">
        <v>180</v>
      </c>
      <c r="B4" s="10"/>
      <c r="C4" s="11">
        <v>8060</v>
      </c>
      <c r="D4" s="11">
        <v>8002</v>
      </c>
      <c r="E4" s="11">
        <v>8341</v>
      </c>
      <c r="F4" s="11">
        <v>8303</v>
      </c>
      <c r="G4" s="11">
        <v>8592</v>
      </c>
      <c r="H4" s="11">
        <v>8044</v>
      </c>
      <c r="I4" s="11">
        <v>8739</v>
      </c>
      <c r="J4" s="11">
        <v>8635</v>
      </c>
      <c r="K4" s="11">
        <v>8423</v>
      </c>
      <c r="L4" s="11">
        <v>8318</v>
      </c>
      <c r="M4" s="11">
        <v>8491</v>
      </c>
      <c r="N4" s="11">
        <v>8017</v>
      </c>
      <c r="O4" s="11">
        <v>8582</v>
      </c>
      <c r="P4" s="11">
        <v>8260</v>
      </c>
      <c r="Q4" s="11">
        <v>8217</v>
      </c>
      <c r="R4" s="11">
        <v>8345</v>
      </c>
      <c r="S4" s="11">
        <v>7894</v>
      </c>
      <c r="T4" s="11">
        <v>7621</v>
      </c>
      <c r="U4" s="11">
        <v>8025</v>
      </c>
      <c r="V4" s="11">
        <v>7892</v>
      </c>
      <c r="W4" s="11">
        <v>7576</v>
      </c>
      <c r="X4" s="11">
        <v>7817</v>
      </c>
      <c r="Y4" s="11">
        <v>7965</v>
      </c>
      <c r="Z4" s="11">
        <v>7820</v>
      </c>
      <c r="AA4" s="11">
        <v>7775</v>
      </c>
      <c r="AB4" s="11">
        <v>7623</v>
      </c>
      <c r="AC4" s="11">
        <v>8210</v>
      </c>
      <c r="AD4" s="11">
        <v>7976</v>
      </c>
      <c r="AE4" s="11">
        <v>8132</v>
      </c>
      <c r="AF4" s="11">
        <v>7887</v>
      </c>
      <c r="AG4" s="11">
        <v>7436</v>
      </c>
      <c r="AH4" s="11">
        <v>7874</v>
      </c>
      <c r="AI4" s="11">
        <v>7985</v>
      </c>
      <c r="AJ4" s="11">
        <v>8122</v>
      </c>
      <c r="AK4" s="11">
        <v>7886</v>
      </c>
      <c r="AL4" s="11">
        <v>7565</v>
      </c>
      <c r="AM4" s="11">
        <v>7913</v>
      </c>
      <c r="AN4" s="11">
        <v>7966</v>
      </c>
      <c r="AO4" s="11">
        <v>8110</v>
      </c>
      <c r="AP4" s="11">
        <v>8129</v>
      </c>
      <c r="AQ4" s="11">
        <v>7725</v>
      </c>
      <c r="AR4" s="11">
        <v>7907</v>
      </c>
      <c r="AS4" s="11">
        <v>8027</v>
      </c>
      <c r="AT4" s="11">
        <v>8058</v>
      </c>
      <c r="AU4" s="11">
        <v>7994</v>
      </c>
      <c r="AV4" s="11">
        <v>7960</v>
      </c>
      <c r="AW4" s="11">
        <v>8174</v>
      </c>
      <c r="AX4" s="11">
        <v>8161</v>
      </c>
      <c r="AY4" s="11">
        <v>7613</v>
      </c>
      <c r="AZ4" s="11">
        <v>7406</v>
      </c>
      <c r="BA4" s="11">
        <v>7707</v>
      </c>
      <c r="BB4" s="11">
        <v>6005</v>
      </c>
    </row>
    <row r="5" spans="1:55" x14ac:dyDescent="0.2">
      <c r="A5" s="12"/>
      <c r="B5" s="15" t="s">
        <v>181</v>
      </c>
      <c r="C5" s="13">
        <v>2919</v>
      </c>
      <c r="D5" s="13">
        <v>3047</v>
      </c>
      <c r="E5" s="13">
        <v>3232</v>
      </c>
      <c r="F5" s="13">
        <v>3283</v>
      </c>
      <c r="G5" s="13">
        <v>3381</v>
      </c>
      <c r="H5" s="13">
        <v>3092</v>
      </c>
      <c r="I5" s="13">
        <v>3395</v>
      </c>
      <c r="J5" s="13">
        <v>3412</v>
      </c>
      <c r="K5" s="13">
        <v>3282</v>
      </c>
      <c r="L5" s="13">
        <v>3516</v>
      </c>
      <c r="M5" s="13">
        <v>3457</v>
      </c>
      <c r="N5" s="13">
        <v>3294</v>
      </c>
      <c r="O5" s="13">
        <v>3417</v>
      </c>
      <c r="P5" s="13">
        <v>3370</v>
      </c>
      <c r="Q5" s="13">
        <v>3400</v>
      </c>
      <c r="R5" s="13">
        <v>3441</v>
      </c>
      <c r="S5" s="13">
        <v>3332</v>
      </c>
      <c r="T5" s="13">
        <v>3178</v>
      </c>
      <c r="U5" s="13">
        <v>3418</v>
      </c>
      <c r="V5" s="13">
        <v>3287</v>
      </c>
      <c r="W5" s="13">
        <v>2930</v>
      </c>
      <c r="X5" s="13">
        <v>3283</v>
      </c>
      <c r="Y5" s="13">
        <v>3344</v>
      </c>
      <c r="Z5" s="13">
        <v>3297</v>
      </c>
      <c r="AA5" s="13">
        <v>3236</v>
      </c>
      <c r="AB5" s="13">
        <v>2934</v>
      </c>
      <c r="AC5" s="13">
        <v>3252</v>
      </c>
      <c r="AD5" s="13">
        <v>3344</v>
      </c>
      <c r="AE5" s="13">
        <v>3291</v>
      </c>
      <c r="AF5" s="13">
        <v>3201</v>
      </c>
      <c r="AG5" s="13">
        <v>2926</v>
      </c>
      <c r="AH5" s="13">
        <v>3252</v>
      </c>
      <c r="AI5" s="13">
        <v>3286</v>
      </c>
      <c r="AJ5" s="13">
        <v>3317</v>
      </c>
      <c r="AK5" s="13">
        <v>3226</v>
      </c>
      <c r="AL5" s="13">
        <v>2796</v>
      </c>
      <c r="AM5" s="13">
        <v>3268</v>
      </c>
      <c r="AN5" s="13">
        <v>3303</v>
      </c>
      <c r="AO5" s="13">
        <v>3468</v>
      </c>
      <c r="AP5" s="13">
        <v>3375</v>
      </c>
      <c r="AQ5" s="13">
        <v>2991</v>
      </c>
      <c r="AR5" s="13">
        <v>3330</v>
      </c>
      <c r="AS5" s="13">
        <v>3382</v>
      </c>
      <c r="AT5" s="13">
        <v>3256</v>
      </c>
      <c r="AU5" s="13">
        <v>3065</v>
      </c>
      <c r="AV5" s="13">
        <v>3342</v>
      </c>
      <c r="AW5" s="13">
        <v>3340</v>
      </c>
      <c r="AX5" s="13">
        <v>3247</v>
      </c>
      <c r="AY5" s="13">
        <v>3158</v>
      </c>
      <c r="AZ5" s="13">
        <v>3162</v>
      </c>
      <c r="BA5" s="13">
        <v>3087</v>
      </c>
      <c r="BB5" s="13">
        <v>1914</v>
      </c>
    </row>
    <row r="6" spans="1:55" x14ac:dyDescent="0.2">
      <c r="A6" s="12"/>
      <c r="B6" s="15" t="s">
        <v>182</v>
      </c>
      <c r="C6" s="13">
        <v>1604</v>
      </c>
      <c r="D6" s="13">
        <v>1692</v>
      </c>
      <c r="E6" s="13">
        <v>1869</v>
      </c>
      <c r="F6" s="13">
        <v>1697</v>
      </c>
      <c r="G6" s="13">
        <v>1875</v>
      </c>
      <c r="H6" s="13">
        <v>1599</v>
      </c>
      <c r="I6" s="13">
        <v>1890</v>
      </c>
      <c r="J6" s="13">
        <v>1863</v>
      </c>
      <c r="K6" s="13">
        <v>1778</v>
      </c>
      <c r="L6" s="13">
        <v>1705</v>
      </c>
      <c r="M6" s="13">
        <v>1821</v>
      </c>
      <c r="N6" s="13">
        <v>1561</v>
      </c>
      <c r="O6" s="13">
        <v>1680</v>
      </c>
      <c r="P6" s="13">
        <v>1705</v>
      </c>
      <c r="Q6" s="13">
        <v>1693</v>
      </c>
      <c r="R6" s="13">
        <v>1581</v>
      </c>
      <c r="S6" s="13">
        <v>1557</v>
      </c>
      <c r="T6" s="13">
        <v>1500</v>
      </c>
      <c r="U6" s="13">
        <v>1577</v>
      </c>
      <c r="V6" s="13">
        <v>1486</v>
      </c>
      <c r="W6" s="13">
        <v>1484</v>
      </c>
      <c r="X6" s="13">
        <v>1566</v>
      </c>
      <c r="Y6" s="13">
        <v>1563</v>
      </c>
      <c r="Z6" s="13">
        <v>1604</v>
      </c>
      <c r="AA6" s="13">
        <v>1557</v>
      </c>
      <c r="AB6" s="13">
        <v>1487</v>
      </c>
      <c r="AC6" s="13">
        <v>1585</v>
      </c>
      <c r="AD6" s="13">
        <v>1487</v>
      </c>
      <c r="AE6" s="13">
        <v>1638</v>
      </c>
      <c r="AF6" s="13">
        <v>1491</v>
      </c>
      <c r="AG6" s="13">
        <v>1382</v>
      </c>
      <c r="AH6" s="13">
        <v>1513</v>
      </c>
      <c r="AI6" s="13">
        <v>1459</v>
      </c>
      <c r="AJ6" s="13">
        <v>1431</v>
      </c>
      <c r="AK6" s="13">
        <v>1603</v>
      </c>
      <c r="AL6" s="13">
        <v>1440</v>
      </c>
      <c r="AM6" s="13">
        <v>1562</v>
      </c>
      <c r="AN6" s="13">
        <v>1581</v>
      </c>
      <c r="AO6" s="13">
        <v>1552</v>
      </c>
      <c r="AP6" s="13">
        <v>1625</v>
      </c>
      <c r="AQ6" s="13">
        <v>1612</v>
      </c>
      <c r="AR6" s="13">
        <v>1561</v>
      </c>
      <c r="AS6" s="13">
        <v>1594</v>
      </c>
      <c r="AT6" s="13">
        <v>1611</v>
      </c>
      <c r="AU6" s="13">
        <v>1595</v>
      </c>
      <c r="AV6" s="13">
        <v>1566</v>
      </c>
      <c r="AW6" s="13">
        <v>1506</v>
      </c>
      <c r="AX6" s="13">
        <v>1525</v>
      </c>
      <c r="AY6" s="13">
        <v>1309</v>
      </c>
      <c r="AZ6" s="13">
        <v>1264</v>
      </c>
      <c r="BA6" s="13">
        <v>1346</v>
      </c>
      <c r="BB6" s="13">
        <v>883</v>
      </c>
    </row>
    <row r="7" spans="1:55" x14ac:dyDescent="0.2">
      <c r="A7" s="12"/>
      <c r="B7" s="15" t="s">
        <v>183</v>
      </c>
      <c r="C7" s="13">
        <v>3537</v>
      </c>
      <c r="D7" s="13">
        <v>3263</v>
      </c>
      <c r="E7" s="13">
        <v>3240</v>
      </c>
      <c r="F7" s="13">
        <v>3323</v>
      </c>
      <c r="G7" s="13">
        <v>3336</v>
      </c>
      <c r="H7" s="13">
        <v>3353</v>
      </c>
      <c r="I7" s="13">
        <v>3454</v>
      </c>
      <c r="J7" s="13">
        <v>3360</v>
      </c>
      <c r="K7" s="13">
        <v>3363</v>
      </c>
      <c r="L7" s="13">
        <v>3097</v>
      </c>
      <c r="M7" s="13">
        <v>3213</v>
      </c>
      <c r="N7" s="13">
        <v>3162</v>
      </c>
      <c r="O7" s="13">
        <v>3485</v>
      </c>
      <c r="P7" s="13">
        <v>3185</v>
      </c>
      <c r="Q7" s="13">
        <v>3124</v>
      </c>
      <c r="R7" s="13">
        <v>3323</v>
      </c>
      <c r="S7" s="13">
        <v>3005</v>
      </c>
      <c r="T7" s="13">
        <v>2943</v>
      </c>
      <c r="U7" s="13">
        <v>3030</v>
      </c>
      <c r="V7" s="13">
        <v>3119</v>
      </c>
      <c r="W7" s="13">
        <v>3162</v>
      </c>
      <c r="X7" s="13">
        <v>2968</v>
      </c>
      <c r="Y7" s="13">
        <v>3058</v>
      </c>
      <c r="Z7" s="13">
        <v>2919</v>
      </c>
      <c r="AA7" s="13">
        <v>2982</v>
      </c>
      <c r="AB7" s="13">
        <v>3202</v>
      </c>
      <c r="AC7" s="13">
        <v>3373</v>
      </c>
      <c r="AD7" s="13">
        <v>3145</v>
      </c>
      <c r="AE7" s="13">
        <v>3203</v>
      </c>
      <c r="AF7" s="13">
        <v>3195</v>
      </c>
      <c r="AG7" s="13">
        <v>3128</v>
      </c>
      <c r="AH7" s="13">
        <v>3109</v>
      </c>
      <c r="AI7" s="13">
        <v>3240</v>
      </c>
      <c r="AJ7" s="13">
        <v>3374</v>
      </c>
      <c r="AK7" s="13">
        <v>3057</v>
      </c>
      <c r="AL7" s="13">
        <v>3329</v>
      </c>
      <c r="AM7" s="13">
        <v>3083</v>
      </c>
      <c r="AN7" s="13">
        <v>3082</v>
      </c>
      <c r="AO7" s="13">
        <v>3090</v>
      </c>
      <c r="AP7" s="13">
        <v>3129</v>
      </c>
      <c r="AQ7" s="13">
        <v>3122</v>
      </c>
      <c r="AR7" s="13">
        <v>3016</v>
      </c>
      <c r="AS7" s="13">
        <v>3051</v>
      </c>
      <c r="AT7" s="13">
        <v>3191</v>
      </c>
      <c r="AU7" s="13">
        <v>3334</v>
      </c>
      <c r="AV7" s="13">
        <v>3052</v>
      </c>
      <c r="AW7" s="13">
        <v>3328</v>
      </c>
      <c r="AX7" s="13">
        <v>3389</v>
      </c>
      <c r="AY7" s="13">
        <v>3146</v>
      </c>
      <c r="AZ7" s="13">
        <v>2980</v>
      </c>
      <c r="BA7" s="13">
        <v>3274</v>
      </c>
      <c r="BB7" s="13">
        <v>3208</v>
      </c>
    </row>
    <row r="8" spans="1:55" x14ac:dyDescent="0.2">
      <c r="A8" s="12"/>
      <c r="B8" s="15"/>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row>
    <row r="9" spans="1:55" x14ac:dyDescent="0.2">
      <c r="A9" s="16" t="s">
        <v>184</v>
      </c>
      <c r="B9" s="12"/>
      <c r="C9" s="11">
        <v>15471</v>
      </c>
      <c r="D9" s="11">
        <v>14786</v>
      </c>
      <c r="E9" s="11">
        <v>14404</v>
      </c>
      <c r="F9" s="11">
        <v>15336</v>
      </c>
      <c r="G9" s="11">
        <v>14500</v>
      </c>
      <c r="H9" s="11">
        <v>15063</v>
      </c>
      <c r="I9" s="11">
        <v>14259</v>
      </c>
      <c r="J9" s="11">
        <v>14631</v>
      </c>
      <c r="K9" s="11">
        <v>15377</v>
      </c>
      <c r="L9" s="11">
        <v>14604</v>
      </c>
      <c r="M9" s="11">
        <v>14357</v>
      </c>
      <c r="N9" s="11">
        <v>13955</v>
      </c>
      <c r="O9" s="11">
        <v>14989</v>
      </c>
      <c r="P9" s="11">
        <v>14026</v>
      </c>
      <c r="Q9" s="11">
        <v>14339</v>
      </c>
      <c r="R9" s="11">
        <v>13804</v>
      </c>
      <c r="S9" s="11">
        <v>14446</v>
      </c>
      <c r="T9" s="11">
        <v>14310</v>
      </c>
      <c r="U9" s="11">
        <v>12804</v>
      </c>
      <c r="V9" s="11">
        <v>14132</v>
      </c>
      <c r="W9" s="11">
        <v>13616</v>
      </c>
      <c r="X9" s="11">
        <v>12843</v>
      </c>
      <c r="Y9" s="11">
        <v>13624</v>
      </c>
      <c r="Z9" s="11">
        <v>14014</v>
      </c>
      <c r="AA9" s="11">
        <v>13194</v>
      </c>
      <c r="AB9" s="11">
        <v>13473</v>
      </c>
      <c r="AC9" s="11">
        <v>13620</v>
      </c>
      <c r="AD9" s="11">
        <v>13715</v>
      </c>
      <c r="AE9" s="11">
        <v>13668</v>
      </c>
      <c r="AF9" s="11">
        <v>14105</v>
      </c>
      <c r="AG9" s="11">
        <v>13812</v>
      </c>
      <c r="AH9" s="11">
        <v>14095</v>
      </c>
      <c r="AI9" s="11">
        <v>13813</v>
      </c>
      <c r="AJ9" s="11">
        <v>14532</v>
      </c>
      <c r="AK9" s="11">
        <v>14877</v>
      </c>
      <c r="AL9" s="11">
        <v>14038</v>
      </c>
      <c r="AM9" s="11">
        <v>14349</v>
      </c>
      <c r="AN9" s="11">
        <v>14529</v>
      </c>
      <c r="AO9" s="11">
        <v>14782</v>
      </c>
      <c r="AP9" s="11">
        <v>14835</v>
      </c>
      <c r="AQ9" s="11">
        <v>15170</v>
      </c>
      <c r="AR9" s="11">
        <v>14973</v>
      </c>
      <c r="AS9" s="11">
        <v>15099</v>
      </c>
      <c r="AT9" s="11">
        <v>15273</v>
      </c>
      <c r="AU9" s="11">
        <v>15753</v>
      </c>
      <c r="AV9" s="11">
        <v>15536</v>
      </c>
      <c r="AW9" s="11">
        <v>14933</v>
      </c>
      <c r="AX9" s="11">
        <v>15697</v>
      </c>
      <c r="AY9" s="11">
        <v>14849</v>
      </c>
      <c r="AZ9" s="11">
        <v>14527</v>
      </c>
      <c r="BA9" s="11">
        <v>15607</v>
      </c>
      <c r="BB9" s="11">
        <v>13850</v>
      </c>
    </row>
    <row r="10" spans="1:55" x14ac:dyDescent="0.2">
      <c r="A10" s="12"/>
      <c r="B10" s="15" t="s">
        <v>185</v>
      </c>
      <c r="C10" s="13">
        <v>9348</v>
      </c>
      <c r="D10" s="13">
        <v>8667</v>
      </c>
      <c r="E10" s="13">
        <v>8565</v>
      </c>
      <c r="F10" s="13">
        <v>9032</v>
      </c>
      <c r="G10" s="13">
        <v>8674</v>
      </c>
      <c r="H10" s="13">
        <v>9122</v>
      </c>
      <c r="I10" s="13">
        <v>8713</v>
      </c>
      <c r="J10" s="13">
        <v>9147</v>
      </c>
      <c r="K10" s="13">
        <v>9239</v>
      </c>
      <c r="L10" s="13">
        <v>9148</v>
      </c>
      <c r="M10" s="13">
        <v>8308</v>
      </c>
      <c r="N10" s="13">
        <v>8658</v>
      </c>
      <c r="O10" s="13">
        <v>9488</v>
      </c>
      <c r="P10" s="13">
        <v>8609</v>
      </c>
      <c r="Q10" s="13">
        <v>8508</v>
      </c>
      <c r="R10" s="13">
        <v>8134</v>
      </c>
      <c r="S10" s="13">
        <v>9032</v>
      </c>
      <c r="T10" s="13">
        <v>8830</v>
      </c>
      <c r="U10" s="13">
        <v>8013</v>
      </c>
      <c r="V10" s="13">
        <v>8612</v>
      </c>
      <c r="W10" s="13">
        <v>8367</v>
      </c>
      <c r="X10" s="13">
        <v>7951</v>
      </c>
      <c r="Y10" s="13">
        <v>8020</v>
      </c>
      <c r="Z10" s="13">
        <v>8430</v>
      </c>
      <c r="AA10" s="13">
        <v>7952</v>
      </c>
      <c r="AB10" s="13">
        <v>8013</v>
      </c>
      <c r="AC10" s="13">
        <v>7919</v>
      </c>
      <c r="AD10" s="13">
        <v>8186</v>
      </c>
      <c r="AE10" s="13">
        <v>7707</v>
      </c>
      <c r="AF10" s="13">
        <v>8266</v>
      </c>
      <c r="AG10" s="13">
        <v>8102</v>
      </c>
      <c r="AH10" s="13">
        <v>8063</v>
      </c>
      <c r="AI10" s="13">
        <v>8014</v>
      </c>
      <c r="AJ10" s="13">
        <v>8655</v>
      </c>
      <c r="AK10" s="13">
        <v>8654</v>
      </c>
      <c r="AL10" s="13">
        <v>8479</v>
      </c>
      <c r="AM10" s="13">
        <v>8365</v>
      </c>
      <c r="AN10" s="13">
        <v>8837</v>
      </c>
      <c r="AO10" s="13">
        <v>8497</v>
      </c>
      <c r="AP10" s="13">
        <v>8553</v>
      </c>
      <c r="AQ10" s="13">
        <v>8526</v>
      </c>
      <c r="AR10" s="13">
        <v>8700</v>
      </c>
      <c r="AS10" s="13">
        <v>8593</v>
      </c>
      <c r="AT10" s="13">
        <v>8815</v>
      </c>
      <c r="AU10" s="13">
        <v>9038</v>
      </c>
      <c r="AV10" s="13">
        <v>8812</v>
      </c>
      <c r="AW10" s="13">
        <v>8254</v>
      </c>
      <c r="AX10" s="13">
        <v>9196</v>
      </c>
      <c r="AY10" s="13">
        <v>8667</v>
      </c>
      <c r="AZ10" s="13">
        <v>8294</v>
      </c>
      <c r="BA10" s="13">
        <v>9570</v>
      </c>
      <c r="BB10" s="13">
        <v>8203</v>
      </c>
    </row>
    <row r="11" spans="1:55" x14ac:dyDescent="0.2">
      <c r="A11" s="12"/>
      <c r="B11" s="15" t="s">
        <v>186</v>
      </c>
      <c r="C11" s="13">
        <v>5120</v>
      </c>
      <c r="D11" s="13">
        <v>5176</v>
      </c>
      <c r="E11" s="13">
        <v>5005</v>
      </c>
      <c r="F11" s="13">
        <v>5389</v>
      </c>
      <c r="G11" s="13">
        <v>5185</v>
      </c>
      <c r="H11" s="13">
        <v>5140</v>
      </c>
      <c r="I11" s="13">
        <v>4989</v>
      </c>
      <c r="J11" s="13">
        <v>4798</v>
      </c>
      <c r="K11" s="13">
        <v>5230</v>
      </c>
      <c r="L11" s="13">
        <v>4471</v>
      </c>
      <c r="M11" s="13">
        <v>4952</v>
      </c>
      <c r="N11" s="13">
        <v>4363</v>
      </c>
      <c r="O11" s="13">
        <v>4530</v>
      </c>
      <c r="P11" s="13">
        <v>4494</v>
      </c>
      <c r="Q11" s="13">
        <v>4892</v>
      </c>
      <c r="R11" s="13">
        <v>4781</v>
      </c>
      <c r="S11" s="13">
        <v>4707</v>
      </c>
      <c r="T11" s="13">
        <v>4732</v>
      </c>
      <c r="U11" s="13">
        <v>4159</v>
      </c>
      <c r="V11" s="13">
        <v>4847</v>
      </c>
      <c r="W11" s="13">
        <v>4325</v>
      </c>
      <c r="X11" s="13">
        <v>4106</v>
      </c>
      <c r="Y11" s="13">
        <v>4953</v>
      </c>
      <c r="Z11" s="13">
        <v>4696</v>
      </c>
      <c r="AA11" s="13">
        <v>4552</v>
      </c>
      <c r="AB11" s="13">
        <v>4675</v>
      </c>
      <c r="AC11" s="13">
        <v>4870</v>
      </c>
      <c r="AD11" s="13">
        <v>4657</v>
      </c>
      <c r="AE11" s="13">
        <v>4955</v>
      </c>
      <c r="AF11" s="13">
        <v>4836</v>
      </c>
      <c r="AG11" s="13">
        <v>4999</v>
      </c>
      <c r="AH11" s="13">
        <v>5017</v>
      </c>
      <c r="AI11" s="13">
        <v>4926</v>
      </c>
      <c r="AJ11" s="13">
        <v>4848</v>
      </c>
      <c r="AK11" s="13">
        <v>5133</v>
      </c>
      <c r="AL11" s="13">
        <v>4897</v>
      </c>
      <c r="AM11" s="13">
        <v>5003</v>
      </c>
      <c r="AN11" s="13">
        <v>4854</v>
      </c>
      <c r="AO11" s="13">
        <v>5383</v>
      </c>
      <c r="AP11" s="13">
        <v>5309</v>
      </c>
      <c r="AQ11" s="13">
        <v>5669</v>
      </c>
      <c r="AR11" s="13">
        <v>5027</v>
      </c>
      <c r="AS11" s="13">
        <v>5554</v>
      </c>
      <c r="AT11" s="13">
        <v>5467</v>
      </c>
      <c r="AU11" s="13">
        <v>5744</v>
      </c>
      <c r="AV11" s="13">
        <v>5653</v>
      </c>
      <c r="AW11" s="13">
        <v>5603</v>
      </c>
      <c r="AX11" s="13">
        <v>5463</v>
      </c>
      <c r="AY11" s="13">
        <v>5293</v>
      </c>
      <c r="AZ11" s="13">
        <v>5289</v>
      </c>
      <c r="BA11" s="13">
        <v>5332</v>
      </c>
      <c r="BB11" s="13">
        <v>4983</v>
      </c>
    </row>
    <row r="12" spans="1:55" x14ac:dyDescent="0.2">
      <c r="A12" s="12"/>
      <c r="B12" s="15" t="s">
        <v>187</v>
      </c>
      <c r="C12" s="13">
        <v>1003</v>
      </c>
      <c r="D12" s="13">
        <v>943</v>
      </c>
      <c r="E12" s="13">
        <v>834</v>
      </c>
      <c r="F12" s="13">
        <v>915</v>
      </c>
      <c r="G12" s="13">
        <v>641</v>
      </c>
      <c r="H12" s="13">
        <v>801</v>
      </c>
      <c r="I12" s="13">
        <v>557</v>
      </c>
      <c r="J12" s="13">
        <v>686</v>
      </c>
      <c r="K12" s="13">
        <v>908</v>
      </c>
      <c r="L12" s="13">
        <v>985</v>
      </c>
      <c r="M12" s="13">
        <v>1097</v>
      </c>
      <c r="N12" s="13">
        <v>934</v>
      </c>
      <c r="O12" s="13">
        <v>971</v>
      </c>
      <c r="P12" s="13">
        <v>923</v>
      </c>
      <c r="Q12" s="13">
        <v>939</v>
      </c>
      <c r="R12" s="13">
        <v>889</v>
      </c>
      <c r="S12" s="13">
        <v>707</v>
      </c>
      <c r="T12" s="13">
        <v>748</v>
      </c>
      <c r="U12" s="13">
        <v>632</v>
      </c>
      <c r="V12" s="13">
        <v>673</v>
      </c>
      <c r="W12" s="13">
        <v>924</v>
      </c>
      <c r="X12" s="13">
        <v>786</v>
      </c>
      <c r="Y12" s="13">
        <v>651</v>
      </c>
      <c r="Z12" s="13">
        <v>888</v>
      </c>
      <c r="AA12" s="13">
        <v>690</v>
      </c>
      <c r="AB12" s="13">
        <v>785</v>
      </c>
      <c r="AC12" s="13">
        <v>831</v>
      </c>
      <c r="AD12" s="13">
        <v>872</v>
      </c>
      <c r="AE12" s="13">
        <v>1006</v>
      </c>
      <c r="AF12" s="13">
        <v>1003</v>
      </c>
      <c r="AG12" s="13">
        <v>711</v>
      </c>
      <c r="AH12" s="13">
        <v>1015</v>
      </c>
      <c r="AI12" s="13">
        <v>873</v>
      </c>
      <c r="AJ12" s="13">
        <v>1029</v>
      </c>
      <c r="AK12" s="13">
        <v>1090</v>
      </c>
      <c r="AL12" s="13">
        <v>662</v>
      </c>
      <c r="AM12" s="13">
        <v>981</v>
      </c>
      <c r="AN12" s="13">
        <v>838</v>
      </c>
      <c r="AO12" s="13">
        <v>902</v>
      </c>
      <c r="AP12" s="13">
        <v>973</v>
      </c>
      <c r="AQ12" s="13">
        <v>975</v>
      </c>
      <c r="AR12" s="13">
        <v>1246</v>
      </c>
      <c r="AS12" s="13">
        <v>952</v>
      </c>
      <c r="AT12" s="13">
        <v>991</v>
      </c>
      <c r="AU12" s="13">
        <v>971</v>
      </c>
      <c r="AV12" s="13">
        <v>1071</v>
      </c>
      <c r="AW12" s="13">
        <v>1076</v>
      </c>
      <c r="AX12" s="13">
        <v>1038</v>
      </c>
      <c r="AY12" s="13">
        <v>889</v>
      </c>
      <c r="AZ12" s="13">
        <v>944</v>
      </c>
      <c r="BA12" s="13">
        <v>705</v>
      </c>
      <c r="BB12" s="13">
        <v>664</v>
      </c>
    </row>
    <row r="13" spans="1:55" x14ac:dyDescent="0.2">
      <c r="A13" s="12"/>
      <c r="B13" s="15"/>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row>
    <row r="14" spans="1:55" x14ac:dyDescent="0.2">
      <c r="A14" s="9" t="s">
        <v>188</v>
      </c>
      <c r="B14" s="17"/>
      <c r="C14" s="11">
        <v>13115</v>
      </c>
      <c r="D14" s="11">
        <v>13312</v>
      </c>
      <c r="E14" s="11">
        <v>14103</v>
      </c>
      <c r="F14" s="11">
        <v>13875</v>
      </c>
      <c r="G14" s="11">
        <v>14002</v>
      </c>
      <c r="H14" s="11">
        <v>13841</v>
      </c>
      <c r="I14" s="11">
        <v>14051</v>
      </c>
      <c r="J14" s="11">
        <v>12989</v>
      </c>
      <c r="K14" s="11">
        <v>13001</v>
      </c>
      <c r="L14" s="11">
        <v>12337</v>
      </c>
      <c r="M14" s="11">
        <v>12897</v>
      </c>
      <c r="N14" s="11">
        <v>12729</v>
      </c>
      <c r="O14" s="11">
        <v>12739</v>
      </c>
      <c r="P14" s="11">
        <v>12460</v>
      </c>
      <c r="Q14" s="11">
        <v>12553</v>
      </c>
      <c r="R14" s="11">
        <v>12220</v>
      </c>
      <c r="S14" s="11">
        <v>12641</v>
      </c>
      <c r="T14" s="11">
        <v>12692</v>
      </c>
      <c r="U14" s="11">
        <v>13886</v>
      </c>
      <c r="V14" s="11">
        <v>14128</v>
      </c>
      <c r="W14" s="11">
        <v>13794</v>
      </c>
      <c r="X14" s="11">
        <v>13909</v>
      </c>
      <c r="Y14" s="11">
        <v>13998</v>
      </c>
      <c r="Z14" s="11">
        <v>12605</v>
      </c>
      <c r="AA14" s="11">
        <v>14129</v>
      </c>
      <c r="AB14" s="11">
        <v>14804</v>
      </c>
      <c r="AC14" s="11">
        <v>13282</v>
      </c>
      <c r="AD14" s="11">
        <v>13078</v>
      </c>
      <c r="AE14" s="11">
        <v>14429</v>
      </c>
      <c r="AF14" s="11">
        <v>15092</v>
      </c>
      <c r="AG14" s="11">
        <v>14700</v>
      </c>
      <c r="AH14" s="11">
        <v>14417</v>
      </c>
      <c r="AI14" s="11">
        <v>13496</v>
      </c>
      <c r="AJ14" s="11">
        <v>13793</v>
      </c>
      <c r="AK14" s="11">
        <v>16917</v>
      </c>
      <c r="AL14" s="11">
        <v>16226</v>
      </c>
      <c r="AM14" s="11">
        <v>17285</v>
      </c>
      <c r="AN14" s="11">
        <v>17454</v>
      </c>
      <c r="AO14" s="11">
        <v>18973</v>
      </c>
      <c r="AP14" s="11">
        <v>18471</v>
      </c>
      <c r="AQ14" s="11">
        <v>18629</v>
      </c>
      <c r="AR14" s="11">
        <v>16070</v>
      </c>
      <c r="AS14" s="11">
        <v>17019</v>
      </c>
      <c r="AT14" s="11">
        <v>17206</v>
      </c>
      <c r="AU14" s="11">
        <v>18128</v>
      </c>
      <c r="AV14" s="11">
        <v>17411</v>
      </c>
      <c r="AW14" s="11">
        <v>16038</v>
      </c>
      <c r="AX14" s="11">
        <v>14389</v>
      </c>
      <c r="AY14" s="11">
        <v>15114</v>
      </c>
      <c r="AZ14" s="11">
        <v>14625</v>
      </c>
      <c r="BA14" s="11">
        <v>16052</v>
      </c>
      <c r="BB14" s="11">
        <v>15360</v>
      </c>
    </row>
    <row r="15" spans="1:55" x14ac:dyDescent="0.2">
      <c r="A15" s="12"/>
      <c r="B15" s="15" t="s">
        <v>189</v>
      </c>
      <c r="C15" s="13">
        <v>1594</v>
      </c>
      <c r="D15" s="13">
        <v>1965</v>
      </c>
      <c r="E15" s="13">
        <v>2073</v>
      </c>
      <c r="F15" s="13">
        <v>1891</v>
      </c>
      <c r="G15" s="13">
        <v>2105</v>
      </c>
      <c r="H15" s="13">
        <v>1992</v>
      </c>
      <c r="I15" s="13">
        <v>2047</v>
      </c>
      <c r="J15" s="13">
        <v>1901</v>
      </c>
      <c r="K15" s="13">
        <v>1519</v>
      </c>
      <c r="L15" s="13">
        <v>1208</v>
      </c>
      <c r="M15" s="13">
        <v>1522</v>
      </c>
      <c r="N15" s="13">
        <v>1316</v>
      </c>
      <c r="O15" s="13">
        <v>1526</v>
      </c>
      <c r="P15" s="13">
        <v>1632</v>
      </c>
      <c r="Q15" s="13">
        <v>1662</v>
      </c>
      <c r="R15" s="13">
        <v>1906</v>
      </c>
      <c r="S15" s="13">
        <v>2152</v>
      </c>
      <c r="T15" s="13">
        <v>2258</v>
      </c>
      <c r="U15" s="13">
        <v>2302</v>
      </c>
      <c r="V15" s="13">
        <v>2082</v>
      </c>
      <c r="W15" s="13">
        <v>2312</v>
      </c>
      <c r="X15" s="13">
        <v>2388</v>
      </c>
      <c r="Y15" s="13">
        <v>2557</v>
      </c>
      <c r="Z15" s="13">
        <v>2474</v>
      </c>
      <c r="AA15" s="13">
        <v>2436</v>
      </c>
      <c r="AB15" s="13">
        <v>2721</v>
      </c>
      <c r="AC15" s="13">
        <v>1913</v>
      </c>
      <c r="AD15" s="13">
        <v>2384</v>
      </c>
      <c r="AE15" s="13">
        <v>2763</v>
      </c>
      <c r="AF15" s="13">
        <v>2150</v>
      </c>
      <c r="AG15" s="13">
        <v>3007</v>
      </c>
      <c r="AH15" s="13">
        <v>2754</v>
      </c>
      <c r="AI15" s="13">
        <v>1901</v>
      </c>
      <c r="AJ15" s="13">
        <v>1938</v>
      </c>
      <c r="AK15" s="13">
        <v>1993</v>
      </c>
      <c r="AL15" s="13">
        <v>1743</v>
      </c>
      <c r="AM15" s="13">
        <v>2646</v>
      </c>
      <c r="AN15" s="13">
        <v>2570</v>
      </c>
      <c r="AO15" s="13">
        <v>2943</v>
      </c>
      <c r="AP15" s="13">
        <v>2963</v>
      </c>
      <c r="AQ15" s="13">
        <v>3098</v>
      </c>
      <c r="AR15" s="13">
        <v>2709</v>
      </c>
      <c r="AS15" s="13">
        <v>2567</v>
      </c>
      <c r="AT15" s="13">
        <v>2466</v>
      </c>
      <c r="AU15" s="13">
        <v>2573</v>
      </c>
      <c r="AV15" s="13">
        <v>2748</v>
      </c>
      <c r="AW15" s="13">
        <v>1887</v>
      </c>
      <c r="AX15" s="13">
        <v>2127</v>
      </c>
      <c r="AY15" s="13">
        <v>2205</v>
      </c>
      <c r="AZ15" s="13">
        <v>2345</v>
      </c>
      <c r="BA15" s="13">
        <v>2318</v>
      </c>
      <c r="BB15" s="13">
        <v>2589</v>
      </c>
    </row>
    <row r="16" spans="1:55" x14ac:dyDescent="0.2">
      <c r="A16" s="12"/>
      <c r="B16" s="15" t="s">
        <v>190</v>
      </c>
      <c r="C16" s="13">
        <v>1471</v>
      </c>
      <c r="D16" s="13">
        <v>1556</v>
      </c>
      <c r="E16" s="13">
        <v>1556</v>
      </c>
      <c r="F16" s="13">
        <v>1774</v>
      </c>
      <c r="G16" s="13">
        <v>1858</v>
      </c>
      <c r="H16" s="13">
        <v>1741</v>
      </c>
      <c r="I16" s="13">
        <v>1578</v>
      </c>
      <c r="J16" s="13">
        <v>1623</v>
      </c>
      <c r="K16" s="13">
        <v>1510</v>
      </c>
      <c r="L16" s="13">
        <v>1698</v>
      </c>
      <c r="M16" s="13">
        <v>1742</v>
      </c>
      <c r="N16" s="13">
        <v>1663</v>
      </c>
      <c r="O16" s="13">
        <v>1687</v>
      </c>
      <c r="P16" s="13">
        <v>1607</v>
      </c>
      <c r="Q16" s="13">
        <v>1600</v>
      </c>
      <c r="R16" s="13">
        <v>1640</v>
      </c>
      <c r="S16" s="13">
        <v>1761</v>
      </c>
      <c r="T16" s="13">
        <v>1609</v>
      </c>
      <c r="U16" s="13">
        <v>1730</v>
      </c>
      <c r="V16" s="13">
        <v>1828</v>
      </c>
      <c r="W16" s="13">
        <v>1715</v>
      </c>
      <c r="X16" s="13">
        <v>1680</v>
      </c>
      <c r="Y16" s="13">
        <v>1643</v>
      </c>
      <c r="Z16" s="13">
        <v>1569</v>
      </c>
      <c r="AA16" s="13">
        <v>1744</v>
      </c>
      <c r="AB16" s="13">
        <v>1701</v>
      </c>
      <c r="AC16" s="13">
        <v>1539</v>
      </c>
      <c r="AD16" s="13">
        <v>1426</v>
      </c>
      <c r="AE16" s="13">
        <v>1740</v>
      </c>
      <c r="AF16" s="13">
        <v>1945</v>
      </c>
      <c r="AG16" s="13">
        <v>1616</v>
      </c>
      <c r="AH16" s="13">
        <v>1485</v>
      </c>
      <c r="AI16" s="13">
        <v>1533</v>
      </c>
      <c r="AJ16" s="13">
        <v>1891</v>
      </c>
      <c r="AK16" s="13">
        <v>1601</v>
      </c>
      <c r="AL16" s="13">
        <v>1352</v>
      </c>
      <c r="AM16" s="13">
        <v>1445</v>
      </c>
      <c r="AN16" s="13">
        <v>1521</v>
      </c>
      <c r="AO16" s="13">
        <v>1658</v>
      </c>
      <c r="AP16" s="13">
        <v>1556</v>
      </c>
      <c r="AQ16" s="13">
        <v>1582</v>
      </c>
      <c r="AR16" s="13">
        <v>1501</v>
      </c>
      <c r="AS16" s="13">
        <v>1582</v>
      </c>
      <c r="AT16" s="13">
        <v>1776</v>
      </c>
      <c r="AU16" s="13">
        <v>1603</v>
      </c>
      <c r="AV16" s="13">
        <v>1498</v>
      </c>
      <c r="AW16" s="13">
        <v>1629</v>
      </c>
      <c r="AX16" s="13">
        <v>1902</v>
      </c>
      <c r="AY16" s="13">
        <v>1668</v>
      </c>
      <c r="AZ16" s="13">
        <v>1610</v>
      </c>
      <c r="BA16" s="13">
        <v>1505</v>
      </c>
      <c r="BB16" s="13">
        <v>1322</v>
      </c>
    </row>
    <row r="17" spans="1:54" x14ac:dyDescent="0.2">
      <c r="A17" s="12"/>
      <c r="B17" s="15" t="s">
        <v>191</v>
      </c>
      <c r="C17" s="13">
        <v>8507</v>
      </c>
      <c r="D17" s="13">
        <v>8277</v>
      </c>
      <c r="E17" s="13">
        <v>8750</v>
      </c>
      <c r="F17" s="13">
        <v>8398</v>
      </c>
      <c r="G17" s="13">
        <v>8368</v>
      </c>
      <c r="H17" s="13">
        <v>8395</v>
      </c>
      <c r="I17" s="13">
        <v>8680</v>
      </c>
      <c r="J17" s="13">
        <v>7705</v>
      </c>
      <c r="K17" s="13">
        <v>8318</v>
      </c>
      <c r="L17" s="13">
        <v>7598</v>
      </c>
      <c r="M17" s="13">
        <v>7929</v>
      </c>
      <c r="N17" s="13">
        <v>7971</v>
      </c>
      <c r="O17" s="13">
        <v>8020</v>
      </c>
      <c r="P17" s="13">
        <v>7493</v>
      </c>
      <c r="Q17" s="13">
        <v>7511</v>
      </c>
      <c r="R17" s="13">
        <v>6969</v>
      </c>
      <c r="S17" s="13">
        <v>6862</v>
      </c>
      <c r="T17" s="13">
        <v>7010</v>
      </c>
      <c r="U17" s="13">
        <v>8023</v>
      </c>
      <c r="V17" s="13">
        <v>8322</v>
      </c>
      <c r="W17" s="13">
        <v>7857</v>
      </c>
      <c r="X17" s="13">
        <v>7892</v>
      </c>
      <c r="Y17" s="13">
        <v>7935</v>
      </c>
      <c r="Z17" s="13">
        <v>6505</v>
      </c>
      <c r="AA17" s="13">
        <v>7954</v>
      </c>
      <c r="AB17" s="13">
        <v>8391</v>
      </c>
      <c r="AC17" s="13">
        <v>8161</v>
      </c>
      <c r="AD17" s="13">
        <v>7341</v>
      </c>
      <c r="AE17" s="13">
        <v>7967</v>
      </c>
      <c r="AF17" s="13">
        <v>8886</v>
      </c>
      <c r="AG17" s="13">
        <v>8335</v>
      </c>
      <c r="AH17" s="13">
        <v>8196</v>
      </c>
      <c r="AI17" s="13">
        <v>8267</v>
      </c>
      <c r="AJ17" s="13">
        <v>8089</v>
      </c>
      <c r="AK17" s="13">
        <v>11311</v>
      </c>
      <c r="AL17" s="13">
        <v>11459</v>
      </c>
      <c r="AM17" s="13">
        <v>11316</v>
      </c>
      <c r="AN17" s="13">
        <v>11543</v>
      </c>
      <c r="AO17" s="13">
        <v>12455</v>
      </c>
      <c r="AP17" s="13">
        <v>12197</v>
      </c>
      <c r="AQ17" s="13">
        <v>12235</v>
      </c>
      <c r="AR17" s="13">
        <v>10064</v>
      </c>
      <c r="AS17" s="13">
        <v>11017</v>
      </c>
      <c r="AT17" s="13">
        <v>11193</v>
      </c>
      <c r="AU17" s="13">
        <v>12275</v>
      </c>
      <c r="AV17" s="13">
        <v>11274</v>
      </c>
      <c r="AW17" s="13">
        <v>10927</v>
      </c>
      <c r="AX17" s="13">
        <v>8677</v>
      </c>
      <c r="AY17" s="13">
        <v>9727</v>
      </c>
      <c r="AZ17" s="13">
        <v>9164</v>
      </c>
      <c r="BA17" s="13">
        <v>10791</v>
      </c>
      <c r="BB17" s="13">
        <v>10379</v>
      </c>
    </row>
    <row r="18" spans="1:54" x14ac:dyDescent="0.2">
      <c r="A18" s="12"/>
      <c r="B18" s="15" t="s">
        <v>192</v>
      </c>
      <c r="C18" s="13">
        <v>1044</v>
      </c>
      <c r="D18" s="13">
        <v>935</v>
      </c>
      <c r="E18" s="13">
        <v>1161</v>
      </c>
      <c r="F18" s="13">
        <v>1130</v>
      </c>
      <c r="G18" s="13">
        <v>1138</v>
      </c>
      <c r="H18" s="13">
        <v>1068</v>
      </c>
      <c r="I18" s="13">
        <v>1110</v>
      </c>
      <c r="J18" s="13">
        <v>1076</v>
      </c>
      <c r="K18" s="13">
        <v>1036</v>
      </c>
      <c r="L18" s="13">
        <v>1135</v>
      </c>
      <c r="M18" s="13">
        <v>1069</v>
      </c>
      <c r="N18" s="13">
        <v>1209</v>
      </c>
      <c r="O18" s="13">
        <v>1055</v>
      </c>
      <c r="P18" s="13">
        <v>1160</v>
      </c>
      <c r="Q18" s="13">
        <v>1211</v>
      </c>
      <c r="R18" s="13">
        <v>1126</v>
      </c>
      <c r="S18" s="13">
        <v>1206</v>
      </c>
      <c r="T18" s="13">
        <v>1226</v>
      </c>
      <c r="U18" s="13">
        <v>1140</v>
      </c>
      <c r="V18" s="13">
        <v>1174</v>
      </c>
      <c r="W18" s="13">
        <v>1220</v>
      </c>
      <c r="X18" s="13">
        <v>1282</v>
      </c>
      <c r="Y18" s="13">
        <v>1143</v>
      </c>
      <c r="Z18" s="13">
        <v>1334</v>
      </c>
      <c r="AA18" s="13">
        <v>1306</v>
      </c>
      <c r="AB18" s="13">
        <v>1402</v>
      </c>
      <c r="AC18" s="13">
        <v>1131</v>
      </c>
      <c r="AD18" s="13">
        <v>1348</v>
      </c>
      <c r="AE18" s="13">
        <v>1256</v>
      </c>
      <c r="AF18" s="13">
        <v>1487</v>
      </c>
      <c r="AG18" s="13">
        <v>1197</v>
      </c>
      <c r="AH18" s="13">
        <v>1388</v>
      </c>
      <c r="AI18" s="13">
        <v>1150</v>
      </c>
      <c r="AJ18" s="13">
        <v>1191</v>
      </c>
      <c r="AK18" s="13">
        <v>1362</v>
      </c>
      <c r="AL18" s="13">
        <v>1211</v>
      </c>
      <c r="AM18" s="13">
        <v>1178</v>
      </c>
      <c r="AN18" s="13">
        <v>1211</v>
      </c>
      <c r="AO18" s="13">
        <v>1298</v>
      </c>
      <c r="AP18" s="13">
        <v>1237</v>
      </c>
      <c r="AQ18" s="13">
        <v>1203</v>
      </c>
      <c r="AR18" s="13">
        <v>1137</v>
      </c>
      <c r="AS18" s="13">
        <v>1241</v>
      </c>
      <c r="AT18" s="13">
        <v>1211</v>
      </c>
      <c r="AU18" s="13">
        <v>1061</v>
      </c>
      <c r="AV18" s="13">
        <v>1174</v>
      </c>
      <c r="AW18" s="13">
        <v>938</v>
      </c>
      <c r="AX18" s="13">
        <v>960</v>
      </c>
      <c r="AY18" s="13">
        <v>868</v>
      </c>
      <c r="AZ18" s="13">
        <v>856</v>
      </c>
      <c r="BA18" s="13">
        <v>800</v>
      </c>
      <c r="BB18" s="13">
        <v>733</v>
      </c>
    </row>
    <row r="19" spans="1:54" x14ac:dyDescent="0.2">
      <c r="A19" s="12"/>
      <c r="B19" s="15" t="s">
        <v>193</v>
      </c>
      <c r="C19" s="13">
        <v>333</v>
      </c>
      <c r="D19" s="13">
        <v>382</v>
      </c>
      <c r="E19" s="13">
        <v>367</v>
      </c>
      <c r="F19" s="13">
        <v>473</v>
      </c>
      <c r="G19" s="13">
        <v>376</v>
      </c>
      <c r="H19" s="13">
        <v>476</v>
      </c>
      <c r="I19" s="13">
        <v>452</v>
      </c>
      <c r="J19" s="13">
        <v>509</v>
      </c>
      <c r="K19" s="13">
        <v>416</v>
      </c>
      <c r="L19" s="13">
        <v>477</v>
      </c>
      <c r="M19" s="13">
        <v>455</v>
      </c>
      <c r="N19" s="13">
        <v>432</v>
      </c>
      <c r="O19" s="13">
        <v>310</v>
      </c>
      <c r="P19" s="13">
        <v>390</v>
      </c>
      <c r="Q19" s="13">
        <v>374</v>
      </c>
      <c r="R19" s="13">
        <v>446</v>
      </c>
      <c r="S19" s="13">
        <v>480</v>
      </c>
      <c r="T19" s="13">
        <v>405</v>
      </c>
      <c r="U19" s="13">
        <v>499</v>
      </c>
      <c r="V19" s="13">
        <v>553</v>
      </c>
      <c r="W19" s="13">
        <v>504</v>
      </c>
      <c r="X19" s="13">
        <v>509</v>
      </c>
      <c r="Y19" s="13">
        <v>487</v>
      </c>
      <c r="Z19" s="13">
        <v>510</v>
      </c>
      <c r="AA19" s="13">
        <v>492</v>
      </c>
      <c r="AB19" s="13">
        <v>432</v>
      </c>
      <c r="AC19" s="13">
        <v>418</v>
      </c>
      <c r="AD19" s="13">
        <v>437</v>
      </c>
      <c r="AE19" s="13">
        <v>513</v>
      </c>
      <c r="AF19" s="13">
        <v>467</v>
      </c>
      <c r="AG19" s="13">
        <v>365</v>
      </c>
      <c r="AH19" s="13">
        <v>403</v>
      </c>
      <c r="AI19" s="13">
        <v>451</v>
      </c>
      <c r="AJ19" s="13">
        <v>501</v>
      </c>
      <c r="AK19" s="13">
        <v>427</v>
      </c>
      <c r="AL19" s="13">
        <v>263</v>
      </c>
      <c r="AM19" s="13">
        <v>497</v>
      </c>
      <c r="AN19" s="13">
        <v>459</v>
      </c>
      <c r="AO19" s="13">
        <v>457</v>
      </c>
      <c r="AP19" s="13">
        <v>375</v>
      </c>
      <c r="AQ19" s="13">
        <v>369</v>
      </c>
      <c r="AR19" s="13">
        <v>487</v>
      </c>
      <c r="AS19" s="13">
        <v>422</v>
      </c>
      <c r="AT19" s="13">
        <v>348</v>
      </c>
      <c r="AU19" s="13">
        <v>456</v>
      </c>
      <c r="AV19" s="13">
        <v>561</v>
      </c>
      <c r="AW19" s="13">
        <v>485</v>
      </c>
      <c r="AX19" s="13">
        <v>571</v>
      </c>
      <c r="AY19" s="13">
        <v>464</v>
      </c>
      <c r="AZ19" s="13">
        <v>484</v>
      </c>
      <c r="BA19" s="13">
        <v>521</v>
      </c>
      <c r="BB19" s="13">
        <v>229</v>
      </c>
    </row>
    <row r="20" spans="1:54" x14ac:dyDescent="0.2">
      <c r="B20" s="12" t="s">
        <v>194</v>
      </c>
      <c r="C20" s="13">
        <v>166</v>
      </c>
      <c r="D20" s="13">
        <v>197</v>
      </c>
      <c r="E20" s="13">
        <v>196</v>
      </c>
      <c r="F20" s="13">
        <v>209</v>
      </c>
      <c r="G20" s="13">
        <v>157</v>
      </c>
      <c r="H20" s="13">
        <v>169</v>
      </c>
      <c r="I20" s="13">
        <v>184</v>
      </c>
      <c r="J20" s="13">
        <v>175</v>
      </c>
      <c r="K20" s="13">
        <v>202</v>
      </c>
      <c r="L20" s="13">
        <v>221</v>
      </c>
      <c r="M20" s="13">
        <v>180</v>
      </c>
      <c r="N20" s="13">
        <v>138</v>
      </c>
      <c r="O20" s="13">
        <v>141</v>
      </c>
      <c r="P20" s="13">
        <v>178</v>
      </c>
      <c r="Q20" s="13">
        <v>195</v>
      </c>
      <c r="R20" s="13">
        <v>133</v>
      </c>
      <c r="S20" s="13">
        <v>180</v>
      </c>
      <c r="T20" s="13">
        <v>184</v>
      </c>
      <c r="U20" s="13">
        <v>192</v>
      </c>
      <c r="V20" s="13">
        <v>169</v>
      </c>
      <c r="W20" s="13">
        <v>186</v>
      </c>
      <c r="X20" s="13">
        <v>158</v>
      </c>
      <c r="Y20" s="13">
        <v>233</v>
      </c>
      <c r="Z20" s="13">
        <v>213</v>
      </c>
      <c r="AA20" s="13">
        <v>197</v>
      </c>
      <c r="AB20" s="13">
        <v>157</v>
      </c>
      <c r="AC20" s="13">
        <v>120</v>
      </c>
      <c r="AD20" s="13">
        <v>142</v>
      </c>
      <c r="AE20" s="13">
        <v>190</v>
      </c>
      <c r="AF20" s="13">
        <v>157</v>
      </c>
      <c r="AG20" s="13">
        <v>180</v>
      </c>
      <c r="AH20" s="13">
        <v>191</v>
      </c>
      <c r="AI20" s="13">
        <v>194</v>
      </c>
      <c r="AJ20" s="13">
        <v>183</v>
      </c>
      <c r="AK20" s="13">
        <v>223</v>
      </c>
      <c r="AL20" s="13">
        <v>198</v>
      </c>
      <c r="AM20" s="13">
        <v>203</v>
      </c>
      <c r="AN20" s="13">
        <v>150</v>
      </c>
      <c r="AO20" s="13">
        <v>162</v>
      </c>
      <c r="AP20" s="13">
        <v>143</v>
      </c>
      <c r="AQ20" s="13">
        <v>142</v>
      </c>
      <c r="AR20" s="13">
        <v>172</v>
      </c>
      <c r="AS20" s="13">
        <v>190</v>
      </c>
      <c r="AT20" s="13">
        <v>212</v>
      </c>
      <c r="AU20" s="13">
        <v>160</v>
      </c>
      <c r="AV20" s="13">
        <v>156</v>
      </c>
      <c r="AW20" s="13">
        <v>172</v>
      </c>
      <c r="AX20" s="13">
        <v>152</v>
      </c>
      <c r="AY20" s="13">
        <v>182</v>
      </c>
      <c r="AZ20" s="13">
        <v>166</v>
      </c>
      <c r="BA20" s="13">
        <v>117</v>
      </c>
      <c r="BB20" s="13">
        <v>108</v>
      </c>
    </row>
    <row r="22" spans="1:54" x14ac:dyDescent="0.2">
      <c r="A22" s="9" t="s">
        <v>195</v>
      </c>
      <c r="C22" s="5">
        <v>985</v>
      </c>
      <c r="D22" s="5">
        <v>1082</v>
      </c>
      <c r="E22" s="5">
        <v>945</v>
      </c>
      <c r="F22" s="5">
        <v>1115</v>
      </c>
      <c r="G22" s="5">
        <v>1065</v>
      </c>
      <c r="H22" s="5">
        <v>952</v>
      </c>
      <c r="I22" s="5">
        <v>930</v>
      </c>
      <c r="J22" s="5">
        <v>1104</v>
      </c>
      <c r="K22" s="5">
        <v>968</v>
      </c>
      <c r="L22" s="5">
        <v>1001</v>
      </c>
      <c r="M22" s="5">
        <v>1017</v>
      </c>
      <c r="N22" s="5">
        <v>1538</v>
      </c>
      <c r="O22" s="5">
        <v>1356</v>
      </c>
      <c r="P22" s="5">
        <v>1065</v>
      </c>
      <c r="Q22" s="5">
        <v>1376</v>
      </c>
      <c r="R22" s="5">
        <v>1411</v>
      </c>
      <c r="S22" s="5">
        <v>1648</v>
      </c>
      <c r="T22" s="5">
        <v>1275</v>
      </c>
      <c r="U22" s="5">
        <v>1310</v>
      </c>
      <c r="V22" s="5">
        <v>1133</v>
      </c>
      <c r="W22" s="5">
        <v>1255</v>
      </c>
      <c r="X22" s="5">
        <v>1159</v>
      </c>
      <c r="Y22" s="5">
        <v>1263</v>
      </c>
      <c r="Z22" s="5">
        <v>1729</v>
      </c>
      <c r="AA22" s="5">
        <v>958</v>
      </c>
      <c r="AB22" s="5">
        <v>1399</v>
      </c>
      <c r="AC22" s="5">
        <v>1278</v>
      </c>
      <c r="AD22" s="5">
        <v>1269</v>
      </c>
      <c r="AE22" s="5">
        <v>1176</v>
      </c>
      <c r="AF22" s="5">
        <v>1078</v>
      </c>
      <c r="AG22" s="5">
        <v>1264</v>
      </c>
      <c r="AH22" s="5">
        <v>1030</v>
      </c>
      <c r="AI22" s="5">
        <v>1505</v>
      </c>
      <c r="AJ22" s="5">
        <v>1431</v>
      </c>
      <c r="AK22" s="5">
        <v>1438</v>
      </c>
      <c r="AL22" s="5">
        <v>1521</v>
      </c>
      <c r="AM22" s="5">
        <v>1628</v>
      </c>
      <c r="AN22" s="5">
        <v>1310</v>
      </c>
      <c r="AO22" s="5">
        <v>1598</v>
      </c>
      <c r="AP22" s="5">
        <v>1513</v>
      </c>
      <c r="AQ22" s="5">
        <v>1323</v>
      </c>
      <c r="AR22" s="5">
        <v>1377</v>
      </c>
      <c r="AS22" s="5">
        <v>1478</v>
      </c>
      <c r="AT22" s="5">
        <v>1435</v>
      </c>
      <c r="AU22" s="5">
        <v>1360</v>
      </c>
      <c r="AV22" s="5">
        <v>1378</v>
      </c>
      <c r="AW22" s="5">
        <v>1199</v>
      </c>
      <c r="AX22" s="5">
        <v>1371</v>
      </c>
      <c r="AY22" s="5">
        <v>1270</v>
      </c>
      <c r="AZ22" s="5">
        <v>1267</v>
      </c>
      <c r="BA22" s="5">
        <v>1449</v>
      </c>
      <c r="BB22" s="5">
        <v>977</v>
      </c>
    </row>
    <row r="23" spans="1:54" x14ac:dyDescent="0.2">
      <c r="A23" s="12"/>
      <c r="B23" s="15"/>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row>
    <row r="24" spans="1:54" x14ac:dyDescent="0.2">
      <c r="A24" s="9" t="s">
        <v>196</v>
      </c>
      <c r="C24" s="5">
        <v>3533</v>
      </c>
      <c r="D24" s="5">
        <v>4333</v>
      </c>
      <c r="E24" s="5">
        <v>4680</v>
      </c>
      <c r="F24" s="5">
        <v>5056</v>
      </c>
      <c r="G24" s="5">
        <v>5048</v>
      </c>
      <c r="H24" s="5">
        <v>4983</v>
      </c>
      <c r="I24" s="5">
        <v>5564</v>
      </c>
      <c r="J24" s="5">
        <v>5066</v>
      </c>
      <c r="K24" s="5">
        <v>5601</v>
      </c>
      <c r="L24" s="5">
        <v>5602</v>
      </c>
      <c r="M24" s="5">
        <v>5471</v>
      </c>
      <c r="N24" s="5">
        <v>4904</v>
      </c>
      <c r="O24" s="5">
        <v>4437</v>
      </c>
      <c r="P24" s="5">
        <v>4950</v>
      </c>
      <c r="Q24" s="5">
        <v>5441</v>
      </c>
      <c r="R24" s="5">
        <v>5455</v>
      </c>
      <c r="S24" s="5">
        <v>5794</v>
      </c>
      <c r="T24" s="5">
        <v>5247</v>
      </c>
      <c r="U24" s="5">
        <v>5265</v>
      </c>
      <c r="V24" s="5">
        <v>4984</v>
      </c>
      <c r="W24" s="5">
        <v>4874</v>
      </c>
      <c r="X24" s="5">
        <v>4821</v>
      </c>
      <c r="Y24" s="5">
        <v>4918</v>
      </c>
      <c r="Z24" s="5">
        <v>5242</v>
      </c>
      <c r="AA24" s="5">
        <v>5595</v>
      </c>
      <c r="AB24" s="5">
        <v>5115</v>
      </c>
      <c r="AC24" s="5">
        <v>3225</v>
      </c>
      <c r="AD24" s="5">
        <v>3340</v>
      </c>
      <c r="AE24" s="5">
        <v>5035</v>
      </c>
      <c r="AF24" s="5">
        <v>5180</v>
      </c>
      <c r="AG24" s="5">
        <v>5139</v>
      </c>
      <c r="AH24" s="5">
        <v>5214</v>
      </c>
      <c r="AI24" s="5">
        <v>5248</v>
      </c>
      <c r="AJ24" s="5">
        <v>5128</v>
      </c>
      <c r="AK24" s="5">
        <v>4633</v>
      </c>
      <c r="AL24" s="5">
        <v>4362</v>
      </c>
      <c r="AM24" s="5">
        <v>5675</v>
      </c>
      <c r="AN24" s="5">
        <v>5967</v>
      </c>
      <c r="AO24" s="5">
        <v>5957</v>
      </c>
      <c r="AP24" s="5">
        <v>5251</v>
      </c>
      <c r="AQ24" s="5">
        <v>4890</v>
      </c>
      <c r="AR24" s="5">
        <v>5730</v>
      </c>
      <c r="AS24" s="5">
        <v>4936</v>
      </c>
      <c r="AT24" s="5">
        <v>5401</v>
      </c>
      <c r="AU24" s="5">
        <v>4885</v>
      </c>
      <c r="AV24" s="5">
        <v>5020</v>
      </c>
      <c r="AW24" s="5">
        <v>4614</v>
      </c>
      <c r="AX24" s="5">
        <v>4934</v>
      </c>
      <c r="AY24" s="5">
        <v>5230</v>
      </c>
      <c r="AZ24" s="5">
        <v>4865</v>
      </c>
      <c r="BA24" s="5">
        <v>4862</v>
      </c>
      <c r="BB24" s="5">
        <v>3926</v>
      </c>
    </row>
    <row r="25" spans="1:54" x14ac:dyDescent="0.2">
      <c r="A25" s="12"/>
      <c r="B25" s="15"/>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row>
    <row r="26" spans="1:54" x14ac:dyDescent="0.2">
      <c r="A26" s="18" t="s">
        <v>197</v>
      </c>
      <c r="B26" s="19"/>
      <c r="C26" s="20">
        <v>41164</v>
      </c>
      <c r="D26" s="20">
        <v>41515</v>
      </c>
      <c r="E26" s="20">
        <v>42473</v>
      </c>
      <c r="F26" s="20">
        <v>43685</v>
      </c>
      <c r="G26" s="20">
        <v>43207</v>
      </c>
      <c r="H26" s="20">
        <v>42883</v>
      </c>
      <c r="I26" s="20">
        <v>43543</v>
      </c>
      <c r="J26" s="20">
        <v>42425</v>
      </c>
      <c r="K26" s="20">
        <v>43370</v>
      </c>
      <c r="L26" s="20">
        <v>41862</v>
      </c>
      <c r="M26" s="20">
        <v>42233</v>
      </c>
      <c r="N26" s="20">
        <v>41143</v>
      </c>
      <c r="O26" s="20">
        <v>42103</v>
      </c>
      <c r="P26" s="20">
        <v>40761</v>
      </c>
      <c r="Q26" s="20">
        <v>41926</v>
      </c>
      <c r="R26" s="20">
        <v>41235</v>
      </c>
      <c r="S26" s="20">
        <v>42423</v>
      </c>
      <c r="T26" s="20">
        <v>41145</v>
      </c>
      <c r="U26" s="20">
        <v>41290</v>
      </c>
      <c r="V26" s="20">
        <v>42269</v>
      </c>
      <c r="W26" s="20">
        <v>41115</v>
      </c>
      <c r="X26" s="20">
        <v>40549</v>
      </c>
      <c r="Y26" s="20">
        <v>41768</v>
      </c>
      <c r="Z26" s="20">
        <v>41410</v>
      </c>
      <c r="AA26" s="20">
        <v>41651</v>
      </c>
      <c r="AB26" s="20">
        <v>42414</v>
      </c>
      <c r="AC26" s="20">
        <v>39615</v>
      </c>
      <c r="AD26" s="20">
        <v>39378</v>
      </c>
      <c r="AE26" s="20">
        <v>42440</v>
      </c>
      <c r="AF26" s="20">
        <v>43342</v>
      </c>
      <c r="AG26" s="20">
        <v>42351</v>
      </c>
      <c r="AH26" s="20">
        <v>42630</v>
      </c>
      <c r="AI26" s="20">
        <v>42047</v>
      </c>
      <c r="AJ26" s="20">
        <v>43006</v>
      </c>
      <c r="AK26" s="20">
        <v>45751</v>
      </c>
      <c r="AL26" s="20">
        <v>43712</v>
      </c>
      <c r="AM26" s="20">
        <v>46850</v>
      </c>
      <c r="AN26" s="20">
        <v>47226</v>
      </c>
      <c r="AO26" s="20">
        <v>49420</v>
      </c>
      <c r="AP26" s="20">
        <v>48199</v>
      </c>
      <c r="AQ26" s="20">
        <v>47737</v>
      </c>
      <c r="AR26" s="20">
        <v>46057</v>
      </c>
      <c r="AS26" s="20">
        <v>46559</v>
      </c>
      <c r="AT26" s="20">
        <v>47373</v>
      </c>
      <c r="AU26" s="20">
        <v>48120</v>
      </c>
      <c r="AV26" s="20">
        <v>47305</v>
      </c>
      <c r="AW26" s="20">
        <v>44958</v>
      </c>
      <c r="AX26" s="20">
        <v>44552</v>
      </c>
      <c r="AY26" s="20">
        <v>44076</v>
      </c>
      <c r="AZ26" s="20">
        <v>42690</v>
      </c>
      <c r="BA26" s="20">
        <v>45677</v>
      </c>
      <c r="BB26" s="20">
        <v>40118</v>
      </c>
    </row>
    <row r="27" spans="1:54" x14ac:dyDescent="0.2">
      <c r="A27" s="12"/>
      <c r="B27" s="15"/>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row>
    <row r="28" spans="1:54" x14ac:dyDescent="0.2">
      <c r="A28" s="9" t="s">
        <v>198</v>
      </c>
      <c r="B28" s="12"/>
      <c r="C28" s="11">
        <v>6452</v>
      </c>
      <c r="D28" s="11">
        <v>5628</v>
      </c>
      <c r="E28" s="11">
        <v>6669</v>
      </c>
      <c r="F28" s="11">
        <v>6626</v>
      </c>
      <c r="G28" s="11">
        <v>6674</v>
      </c>
      <c r="H28" s="11">
        <v>5850</v>
      </c>
      <c r="I28" s="11">
        <v>6177</v>
      </c>
      <c r="J28" s="11">
        <v>5144</v>
      </c>
      <c r="K28" s="11">
        <v>6054</v>
      </c>
      <c r="L28" s="11">
        <v>6105</v>
      </c>
      <c r="M28" s="11">
        <v>5065</v>
      </c>
      <c r="N28" s="11">
        <v>6037</v>
      </c>
      <c r="O28" s="11">
        <v>5847</v>
      </c>
      <c r="P28" s="11">
        <v>5167</v>
      </c>
      <c r="Q28" s="11">
        <v>4972</v>
      </c>
      <c r="R28" s="11">
        <v>5776</v>
      </c>
      <c r="S28" s="11">
        <v>5739</v>
      </c>
      <c r="T28" s="11">
        <v>4543</v>
      </c>
      <c r="U28" s="11">
        <v>5817</v>
      </c>
      <c r="V28" s="11">
        <v>4827</v>
      </c>
      <c r="W28" s="11">
        <v>5276</v>
      </c>
      <c r="X28" s="11">
        <v>6566</v>
      </c>
      <c r="Y28" s="11">
        <v>6290</v>
      </c>
      <c r="Z28" s="11">
        <v>6695</v>
      </c>
      <c r="AA28" s="11">
        <v>6229</v>
      </c>
      <c r="AB28" s="11">
        <v>5646</v>
      </c>
      <c r="AC28" s="11">
        <v>5686</v>
      </c>
      <c r="AD28" s="11">
        <v>6669</v>
      </c>
      <c r="AE28" s="11">
        <v>6320</v>
      </c>
      <c r="AF28" s="11">
        <v>6451</v>
      </c>
      <c r="AG28" s="11">
        <v>5920</v>
      </c>
      <c r="AH28" s="11">
        <v>5485</v>
      </c>
      <c r="AI28" s="11">
        <v>5919</v>
      </c>
      <c r="AJ28" s="11">
        <v>6347</v>
      </c>
      <c r="AK28" s="11">
        <v>6689</v>
      </c>
      <c r="AL28" s="11">
        <v>7409</v>
      </c>
      <c r="AM28" s="11">
        <v>7359</v>
      </c>
      <c r="AN28" s="11">
        <v>8154</v>
      </c>
      <c r="AO28" s="11">
        <v>9529</v>
      </c>
      <c r="AP28" s="11">
        <v>6535</v>
      </c>
      <c r="AQ28" s="11">
        <v>6908</v>
      </c>
      <c r="AR28" s="11">
        <v>6602</v>
      </c>
      <c r="AS28" s="11">
        <v>7256</v>
      </c>
      <c r="AT28" s="11">
        <v>7332</v>
      </c>
      <c r="AU28" s="11">
        <v>8905</v>
      </c>
      <c r="AV28" s="11">
        <v>6854</v>
      </c>
      <c r="AW28" s="11">
        <v>6993</v>
      </c>
      <c r="AX28" s="11">
        <v>7703</v>
      </c>
      <c r="AY28" s="11">
        <v>6544</v>
      </c>
      <c r="AZ28" s="11">
        <v>7073</v>
      </c>
      <c r="BA28" s="11">
        <v>6339</v>
      </c>
      <c r="BB28" s="11">
        <v>6531</v>
      </c>
    </row>
    <row r="29" spans="1:54" x14ac:dyDescent="0.2">
      <c r="A29" s="12"/>
      <c r="B29" s="12" t="s">
        <v>198</v>
      </c>
      <c r="C29" s="13">
        <v>5830</v>
      </c>
      <c r="D29" s="13">
        <v>5050</v>
      </c>
      <c r="E29" s="13">
        <v>5940</v>
      </c>
      <c r="F29" s="13">
        <v>6124</v>
      </c>
      <c r="G29" s="13">
        <v>5905</v>
      </c>
      <c r="H29" s="13">
        <v>5296</v>
      </c>
      <c r="I29" s="13">
        <v>5642</v>
      </c>
      <c r="J29" s="13">
        <v>4463</v>
      </c>
      <c r="K29" s="13">
        <v>5527</v>
      </c>
      <c r="L29" s="13">
        <v>5351</v>
      </c>
      <c r="M29" s="13">
        <v>4611</v>
      </c>
      <c r="N29" s="13">
        <v>5430</v>
      </c>
      <c r="O29" s="13">
        <v>5078</v>
      </c>
      <c r="P29" s="13">
        <v>4610</v>
      </c>
      <c r="Q29" s="13">
        <v>4169</v>
      </c>
      <c r="R29" s="13">
        <v>4814</v>
      </c>
      <c r="S29" s="13">
        <v>4877</v>
      </c>
      <c r="T29" s="13">
        <v>3745</v>
      </c>
      <c r="U29" s="13">
        <v>5184</v>
      </c>
      <c r="V29" s="13">
        <v>4299</v>
      </c>
      <c r="W29" s="13">
        <v>4664</v>
      </c>
      <c r="X29" s="13">
        <v>5491</v>
      </c>
      <c r="Y29" s="13">
        <v>5449</v>
      </c>
      <c r="Z29" s="13">
        <v>5524</v>
      </c>
      <c r="AA29" s="13">
        <v>5425</v>
      </c>
      <c r="AB29" s="13">
        <v>4728</v>
      </c>
      <c r="AC29" s="13">
        <v>4906</v>
      </c>
      <c r="AD29" s="13">
        <v>5604</v>
      </c>
      <c r="AE29" s="13">
        <v>5532</v>
      </c>
      <c r="AF29" s="13">
        <v>5261</v>
      </c>
      <c r="AG29" s="13">
        <v>4740</v>
      </c>
      <c r="AH29" s="13">
        <v>4677</v>
      </c>
      <c r="AI29" s="13">
        <v>5119</v>
      </c>
      <c r="AJ29" s="13">
        <v>5541</v>
      </c>
      <c r="AK29" s="13">
        <v>5765</v>
      </c>
      <c r="AL29" s="13">
        <v>6228</v>
      </c>
      <c r="AM29" s="13">
        <v>6463</v>
      </c>
      <c r="AN29" s="13">
        <v>6407</v>
      </c>
      <c r="AO29" s="13">
        <v>6670</v>
      </c>
      <c r="AP29" s="13">
        <v>5496</v>
      </c>
      <c r="AQ29" s="13">
        <v>5886</v>
      </c>
      <c r="AR29" s="13">
        <v>5209</v>
      </c>
      <c r="AS29" s="13">
        <v>5046</v>
      </c>
      <c r="AT29" s="13">
        <v>5557</v>
      </c>
      <c r="AU29" s="13">
        <v>6997</v>
      </c>
      <c r="AV29" s="13">
        <v>5268</v>
      </c>
      <c r="AW29" s="13">
        <v>5579</v>
      </c>
      <c r="AX29" s="13">
        <v>6212</v>
      </c>
      <c r="AY29" s="13">
        <v>5419</v>
      </c>
      <c r="AZ29" s="13">
        <v>5902</v>
      </c>
      <c r="BA29" s="13">
        <v>5127</v>
      </c>
      <c r="BB29" s="13">
        <v>5435</v>
      </c>
    </row>
    <row r="30" spans="1:54" x14ac:dyDescent="0.2">
      <c r="A30" s="12"/>
      <c r="B30" s="15" t="s">
        <v>199</v>
      </c>
      <c r="C30" s="13">
        <v>622</v>
      </c>
      <c r="D30" s="13">
        <v>578</v>
      </c>
      <c r="E30" s="13">
        <v>729</v>
      </c>
      <c r="F30" s="13">
        <v>502</v>
      </c>
      <c r="G30" s="13">
        <v>769</v>
      </c>
      <c r="H30" s="13">
        <v>554</v>
      </c>
      <c r="I30" s="13">
        <v>535</v>
      </c>
      <c r="J30" s="13">
        <v>681</v>
      </c>
      <c r="K30" s="13">
        <v>527</v>
      </c>
      <c r="L30" s="13">
        <v>754</v>
      </c>
      <c r="M30" s="13">
        <v>454</v>
      </c>
      <c r="N30" s="13">
        <v>607</v>
      </c>
      <c r="O30" s="13">
        <v>769</v>
      </c>
      <c r="P30" s="13">
        <v>557</v>
      </c>
      <c r="Q30" s="13">
        <v>803</v>
      </c>
      <c r="R30" s="13">
        <v>962</v>
      </c>
      <c r="S30" s="13">
        <v>862</v>
      </c>
      <c r="T30" s="13">
        <v>798</v>
      </c>
      <c r="U30" s="13">
        <v>633</v>
      </c>
      <c r="V30" s="13">
        <v>528</v>
      </c>
      <c r="W30" s="13">
        <v>612</v>
      </c>
      <c r="X30" s="13">
        <v>1075</v>
      </c>
      <c r="Y30" s="13">
        <v>841</v>
      </c>
      <c r="Z30" s="13">
        <v>1171</v>
      </c>
      <c r="AA30" s="13">
        <v>804</v>
      </c>
      <c r="AB30" s="13">
        <v>918</v>
      </c>
      <c r="AC30" s="13">
        <v>780</v>
      </c>
      <c r="AD30" s="13">
        <v>1065</v>
      </c>
      <c r="AE30" s="13">
        <v>788</v>
      </c>
      <c r="AF30" s="13">
        <v>1190</v>
      </c>
      <c r="AG30" s="13">
        <v>1180</v>
      </c>
      <c r="AH30" s="13">
        <v>808</v>
      </c>
      <c r="AI30" s="13">
        <v>800</v>
      </c>
      <c r="AJ30" s="13">
        <v>806</v>
      </c>
      <c r="AK30" s="13">
        <v>924</v>
      </c>
      <c r="AL30" s="13">
        <v>1181</v>
      </c>
      <c r="AM30" s="13">
        <v>896</v>
      </c>
      <c r="AN30" s="13">
        <v>1747</v>
      </c>
      <c r="AO30" s="13">
        <v>2859</v>
      </c>
      <c r="AP30" s="13">
        <v>1039</v>
      </c>
      <c r="AQ30" s="13">
        <v>1022</v>
      </c>
      <c r="AR30" s="13">
        <v>1393</v>
      </c>
      <c r="AS30" s="13">
        <v>2210</v>
      </c>
      <c r="AT30" s="13">
        <v>1775</v>
      </c>
      <c r="AU30" s="13">
        <v>1908</v>
      </c>
      <c r="AV30" s="13">
        <v>1586</v>
      </c>
      <c r="AW30" s="13">
        <v>1414</v>
      </c>
      <c r="AX30" s="13">
        <v>1491</v>
      </c>
      <c r="AY30" s="13">
        <v>1125</v>
      </c>
      <c r="AZ30" s="13">
        <v>1171</v>
      </c>
      <c r="BA30" s="13">
        <v>1212</v>
      </c>
      <c r="BB30" s="13">
        <v>1096</v>
      </c>
    </row>
    <row r="31" spans="1:54" x14ac:dyDescent="0.2">
      <c r="A31" s="12"/>
      <c r="B31" s="15"/>
      <c r="C31" s="13"/>
      <c r="D31" s="13"/>
      <c r="E31" s="1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row>
    <row r="32" spans="1:54" x14ac:dyDescent="0.2">
      <c r="A32" s="16" t="s">
        <v>200</v>
      </c>
      <c r="B32" s="12"/>
      <c r="C32" s="11">
        <v>6882</v>
      </c>
      <c r="D32" s="11">
        <v>6527</v>
      </c>
      <c r="E32" s="11">
        <v>7064</v>
      </c>
      <c r="F32" s="11">
        <v>7071</v>
      </c>
      <c r="G32" s="11">
        <v>7324</v>
      </c>
      <c r="H32" s="11">
        <v>7710</v>
      </c>
      <c r="I32" s="11">
        <v>6720</v>
      </c>
      <c r="J32" s="11">
        <v>7418</v>
      </c>
      <c r="K32" s="11">
        <v>6886</v>
      </c>
      <c r="L32" s="11">
        <v>6935</v>
      </c>
      <c r="M32" s="11">
        <v>6670</v>
      </c>
      <c r="N32" s="11">
        <v>6535</v>
      </c>
      <c r="O32" s="11">
        <v>7047</v>
      </c>
      <c r="P32" s="11">
        <v>6323</v>
      </c>
      <c r="Q32" s="11">
        <v>6753</v>
      </c>
      <c r="R32" s="11">
        <v>6013</v>
      </c>
      <c r="S32" s="11">
        <v>5980</v>
      </c>
      <c r="T32" s="11">
        <v>5796</v>
      </c>
      <c r="U32" s="11">
        <v>5781</v>
      </c>
      <c r="V32" s="11">
        <v>5579</v>
      </c>
      <c r="W32" s="11">
        <v>4222</v>
      </c>
      <c r="X32" s="11">
        <v>5840</v>
      </c>
      <c r="Y32" s="11">
        <v>5392</v>
      </c>
      <c r="Z32" s="11">
        <v>5409</v>
      </c>
      <c r="AA32" s="11">
        <v>6012</v>
      </c>
      <c r="AB32" s="11">
        <v>5636</v>
      </c>
      <c r="AC32" s="11">
        <v>6309</v>
      </c>
      <c r="AD32" s="11">
        <v>6424</v>
      </c>
      <c r="AE32" s="11">
        <v>6782</v>
      </c>
      <c r="AF32" s="11">
        <v>6600</v>
      </c>
      <c r="AG32" s="11">
        <v>6902</v>
      </c>
      <c r="AH32" s="11">
        <v>6985</v>
      </c>
      <c r="AI32" s="11">
        <v>6030</v>
      </c>
      <c r="AJ32" s="11">
        <v>6688</v>
      </c>
      <c r="AK32" s="11">
        <v>7609</v>
      </c>
      <c r="AL32" s="11">
        <v>7718</v>
      </c>
      <c r="AM32" s="11">
        <v>8416</v>
      </c>
      <c r="AN32" s="11">
        <v>8682</v>
      </c>
      <c r="AO32" s="11">
        <v>10256</v>
      </c>
      <c r="AP32" s="11">
        <v>10017</v>
      </c>
      <c r="AQ32" s="11">
        <v>10413</v>
      </c>
      <c r="AR32" s="11">
        <v>10045</v>
      </c>
      <c r="AS32" s="11">
        <v>10251</v>
      </c>
      <c r="AT32" s="11">
        <v>10388</v>
      </c>
      <c r="AU32" s="11">
        <v>8256</v>
      </c>
      <c r="AV32" s="11">
        <v>9729</v>
      </c>
      <c r="AW32" s="11">
        <v>8631</v>
      </c>
      <c r="AX32" s="11">
        <v>9581</v>
      </c>
      <c r="AY32" s="11">
        <v>7634</v>
      </c>
      <c r="AZ32" s="11">
        <v>7997</v>
      </c>
      <c r="BA32" s="11">
        <v>7186</v>
      </c>
      <c r="BB32" s="11">
        <v>6927</v>
      </c>
    </row>
    <row r="33" spans="1:54" x14ac:dyDescent="0.2">
      <c r="A33" s="12"/>
      <c r="B33" s="15" t="s">
        <v>201</v>
      </c>
      <c r="C33" s="13">
        <v>1719</v>
      </c>
      <c r="D33" s="13">
        <v>1687</v>
      </c>
      <c r="E33" s="13">
        <v>1415</v>
      </c>
      <c r="F33" s="13">
        <v>1983</v>
      </c>
      <c r="G33" s="13">
        <v>2193</v>
      </c>
      <c r="H33" s="13">
        <v>2053</v>
      </c>
      <c r="I33" s="13">
        <v>1495</v>
      </c>
      <c r="J33" s="13">
        <v>1932</v>
      </c>
      <c r="K33" s="13">
        <v>1500</v>
      </c>
      <c r="L33" s="13">
        <v>2458</v>
      </c>
      <c r="M33" s="13">
        <v>2292</v>
      </c>
      <c r="N33" s="13">
        <v>1779</v>
      </c>
      <c r="O33" s="13">
        <v>1094</v>
      </c>
      <c r="P33" s="13">
        <v>1898</v>
      </c>
      <c r="Q33" s="13">
        <v>1775</v>
      </c>
      <c r="R33" s="13">
        <v>1312</v>
      </c>
      <c r="S33" s="13">
        <v>1361</v>
      </c>
      <c r="T33" s="13">
        <v>1211</v>
      </c>
      <c r="U33" s="13">
        <v>1877</v>
      </c>
      <c r="V33" s="13">
        <v>1214</v>
      </c>
      <c r="W33" s="13">
        <v>796</v>
      </c>
      <c r="X33" s="13">
        <v>1864</v>
      </c>
      <c r="Y33" s="13">
        <v>1325</v>
      </c>
      <c r="Z33" s="13">
        <v>1320</v>
      </c>
      <c r="AA33" s="13">
        <v>1486</v>
      </c>
      <c r="AB33" s="13">
        <v>1673</v>
      </c>
      <c r="AC33" s="13">
        <v>1448</v>
      </c>
      <c r="AD33" s="13">
        <v>1201</v>
      </c>
      <c r="AE33" s="13">
        <v>1252</v>
      </c>
      <c r="AF33" s="13">
        <v>839</v>
      </c>
      <c r="AG33" s="13">
        <v>1005</v>
      </c>
      <c r="AH33" s="13">
        <v>1077</v>
      </c>
      <c r="AI33" s="13">
        <v>1106</v>
      </c>
      <c r="AJ33" s="13">
        <v>2048</v>
      </c>
      <c r="AK33" s="13">
        <v>2628</v>
      </c>
      <c r="AL33" s="13">
        <v>2894</v>
      </c>
      <c r="AM33" s="13">
        <v>3303</v>
      </c>
      <c r="AN33" s="13">
        <v>2835</v>
      </c>
      <c r="AO33" s="13">
        <v>2830</v>
      </c>
      <c r="AP33" s="13">
        <v>2307</v>
      </c>
      <c r="AQ33" s="13">
        <v>2332</v>
      </c>
      <c r="AR33" s="13">
        <v>2076</v>
      </c>
      <c r="AS33" s="13">
        <v>3313</v>
      </c>
      <c r="AT33" s="13">
        <v>3246</v>
      </c>
      <c r="AU33" s="13">
        <v>2090</v>
      </c>
      <c r="AV33" s="13">
        <v>2889</v>
      </c>
      <c r="AW33" s="13">
        <v>2871</v>
      </c>
      <c r="AX33" s="13">
        <v>3289</v>
      </c>
      <c r="AY33" s="13">
        <v>2048</v>
      </c>
      <c r="AZ33" s="13">
        <v>2244</v>
      </c>
      <c r="BA33" s="13">
        <v>2398</v>
      </c>
      <c r="BB33" s="13">
        <v>2380</v>
      </c>
    </row>
    <row r="34" spans="1:54" x14ac:dyDescent="0.2">
      <c r="A34" s="12"/>
      <c r="B34" s="15" t="s">
        <v>200</v>
      </c>
      <c r="C34" s="13">
        <v>3680</v>
      </c>
      <c r="D34" s="13">
        <v>3540</v>
      </c>
      <c r="E34" s="13">
        <v>4452</v>
      </c>
      <c r="F34" s="13">
        <v>3748</v>
      </c>
      <c r="G34" s="13">
        <v>3894</v>
      </c>
      <c r="H34" s="13">
        <v>4251</v>
      </c>
      <c r="I34" s="13">
        <v>3790</v>
      </c>
      <c r="J34" s="13">
        <v>3867</v>
      </c>
      <c r="K34" s="13">
        <v>3859</v>
      </c>
      <c r="L34" s="13">
        <v>3173</v>
      </c>
      <c r="M34" s="13">
        <v>3068</v>
      </c>
      <c r="N34" s="13">
        <v>3336</v>
      </c>
      <c r="O34" s="13">
        <v>4459</v>
      </c>
      <c r="P34" s="13">
        <v>3155</v>
      </c>
      <c r="Q34" s="13">
        <v>3696</v>
      </c>
      <c r="R34" s="13">
        <v>3531</v>
      </c>
      <c r="S34" s="13">
        <v>3343</v>
      </c>
      <c r="T34" s="13">
        <v>3143</v>
      </c>
      <c r="U34" s="13">
        <v>2669</v>
      </c>
      <c r="V34" s="13">
        <v>2967</v>
      </c>
      <c r="W34" s="13">
        <v>2041</v>
      </c>
      <c r="X34" s="13">
        <v>2652</v>
      </c>
      <c r="Y34" s="13">
        <v>2753</v>
      </c>
      <c r="Z34" s="13">
        <v>2889</v>
      </c>
      <c r="AA34" s="13">
        <v>2982</v>
      </c>
      <c r="AB34" s="13">
        <v>2876</v>
      </c>
      <c r="AC34" s="13">
        <v>3433</v>
      </c>
      <c r="AD34" s="13">
        <v>3763</v>
      </c>
      <c r="AE34" s="13">
        <v>4138</v>
      </c>
      <c r="AF34" s="13">
        <v>4450</v>
      </c>
      <c r="AG34" s="13">
        <v>4344</v>
      </c>
      <c r="AH34" s="13">
        <v>4748</v>
      </c>
      <c r="AI34" s="13">
        <v>3616</v>
      </c>
      <c r="AJ34" s="13">
        <v>3301</v>
      </c>
      <c r="AK34" s="13">
        <v>3723</v>
      </c>
      <c r="AL34" s="13">
        <v>3434</v>
      </c>
      <c r="AM34" s="13">
        <v>3640</v>
      </c>
      <c r="AN34" s="13">
        <v>4541</v>
      </c>
      <c r="AO34" s="13">
        <v>6012</v>
      </c>
      <c r="AP34" s="13">
        <v>6462</v>
      </c>
      <c r="AQ34" s="13">
        <v>6598</v>
      </c>
      <c r="AR34" s="13">
        <v>6603</v>
      </c>
      <c r="AS34" s="13">
        <v>5395</v>
      </c>
      <c r="AT34" s="13">
        <v>5918</v>
      </c>
      <c r="AU34" s="13">
        <v>4832</v>
      </c>
      <c r="AV34" s="13">
        <v>5573</v>
      </c>
      <c r="AW34" s="13">
        <v>4653</v>
      </c>
      <c r="AX34" s="13">
        <v>4918</v>
      </c>
      <c r="AY34" s="13">
        <v>4251</v>
      </c>
      <c r="AZ34" s="13">
        <v>4321</v>
      </c>
      <c r="BA34" s="13">
        <v>3769</v>
      </c>
      <c r="BB34" s="13">
        <v>3335</v>
      </c>
    </row>
    <row r="35" spans="1:54" x14ac:dyDescent="0.2">
      <c r="A35" s="12"/>
      <c r="B35" s="15" t="s">
        <v>202</v>
      </c>
      <c r="C35" s="13">
        <v>1483</v>
      </c>
      <c r="D35" s="13">
        <v>1300</v>
      </c>
      <c r="E35" s="13">
        <v>1197</v>
      </c>
      <c r="F35" s="13">
        <v>1340</v>
      </c>
      <c r="G35" s="13">
        <v>1237</v>
      </c>
      <c r="H35" s="13">
        <v>1406</v>
      </c>
      <c r="I35" s="13">
        <v>1435</v>
      </c>
      <c r="J35" s="13">
        <v>1619</v>
      </c>
      <c r="K35" s="13">
        <v>1527</v>
      </c>
      <c r="L35" s="13">
        <v>1304</v>
      </c>
      <c r="M35" s="13">
        <v>1310</v>
      </c>
      <c r="N35" s="13">
        <v>1420</v>
      </c>
      <c r="O35" s="13">
        <v>1494</v>
      </c>
      <c r="P35" s="13">
        <v>1270</v>
      </c>
      <c r="Q35" s="13">
        <v>1282</v>
      </c>
      <c r="R35" s="13">
        <v>1170</v>
      </c>
      <c r="S35" s="13">
        <v>1276</v>
      </c>
      <c r="T35" s="13">
        <v>1442</v>
      </c>
      <c r="U35" s="13">
        <v>1235</v>
      </c>
      <c r="V35" s="13">
        <v>1398</v>
      </c>
      <c r="W35" s="13">
        <v>1385</v>
      </c>
      <c r="X35" s="13">
        <v>1324</v>
      </c>
      <c r="Y35" s="13">
        <v>1314</v>
      </c>
      <c r="Z35" s="13">
        <v>1200</v>
      </c>
      <c r="AA35" s="13">
        <v>1544</v>
      </c>
      <c r="AB35" s="13">
        <v>1087</v>
      </c>
      <c r="AC35" s="13">
        <v>1428</v>
      </c>
      <c r="AD35" s="13">
        <v>1460</v>
      </c>
      <c r="AE35" s="13">
        <v>1392</v>
      </c>
      <c r="AF35" s="13">
        <v>1311</v>
      </c>
      <c r="AG35" s="13">
        <v>1553</v>
      </c>
      <c r="AH35" s="13">
        <v>1160</v>
      </c>
      <c r="AI35" s="13">
        <v>1308</v>
      </c>
      <c r="AJ35" s="13">
        <v>1339</v>
      </c>
      <c r="AK35" s="13">
        <v>1258</v>
      </c>
      <c r="AL35" s="13">
        <v>1390</v>
      </c>
      <c r="AM35" s="13">
        <v>1473</v>
      </c>
      <c r="AN35" s="13">
        <v>1306</v>
      </c>
      <c r="AO35" s="13">
        <v>1414</v>
      </c>
      <c r="AP35" s="13">
        <v>1248</v>
      </c>
      <c r="AQ35" s="13">
        <v>1483</v>
      </c>
      <c r="AR35" s="13">
        <v>1366</v>
      </c>
      <c r="AS35" s="13">
        <v>1543</v>
      </c>
      <c r="AT35" s="13">
        <v>1224</v>
      </c>
      <c r="AU35" s="13">
        <v>1334</v>
      </c>
      <c r="AV35" s="13">
        <v>1267</v>
      </c>
      <c r="AW35" s="13">
        <v>1107</v>
      </c>
      <c r="AX35" s="13">
        <v>1374</v>
      </c>
      <c r="AY35" s="13">
        <v>1335</v>
      </c>
      <c r="AZ35" s="13">
        <v>1432</v>
      </c>
      <c r="BA35" s="13">
        <v>1019</v>
      </c>
      <c r="BB35" s="13">
        <v>1212</v>
      </c>
    </row>
    <row r="36" spans="1:54" x14ac:dyDescent="0.2">
      <c r="A36" s="12"/>
      <c r="B36" s="15"/>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row>
    <row r="37" spans="1:54" x14ac:dyDescent="0.2">
      <c r="A37" s="9" t="s">
        <v>203</v>
      </c>
      <c r="C37" s="5">
        <v>1120</v>
      </c>
      <c r="D37" s="5">
        <v>1155</v>
      </c>
      <c r="E37" s="5">
        <v>1137</v>
      </c>
      <c r="F37" s="5">
        <v>1111</v>
      </c>
      <c r="G37" s="5">
        <v>1177</v>
      </c>
      <c r="H37" s="5">
        <v>1443</v>
      </c>
      <c r="I37" s="5">
        <v>1404</v>
      </c>
      <c r="J37" s="5">
        <v>1176</v>
      </c>
      <c r="K37" s="5">
        <v>1266</v>
      </c>
      <c r="L37" s="5">
        <v>1297</v>
      </c>
      <c r="M37" s="5">
        <v>1156</v>
      </c>
      <c r="N37" s="5">
        <v>1365</v>
      </c>
      <c r="O37" s="5">
        <v>1401</v>
      </c>
      <c r="P37" s="5">
        <v>1284</v>
      </c>
      <c r="Q37" s="5">
        <v>1269</v>
      </c>
      <c r="R37" s="5">
        <v>1137</v>
      </c>
      <c r="S37" s="5">
        <v>1258</v>
      </c>
      <c r="T37" s="5">
        <v>1190</v>
      </c>
      <c r="U37" s="5">
        <v>1407</v>
      </c>
      <c r="V37" s="5">
        <v>1360</v>
      </c>
      <c r="W37" s="5">
        <v>1484</v>
      </c>
      <c r="X37" s="5">
        <v>1239</v>
      </c>
      <c r="Y37" s="5">
        <v>1321</v>
      </c>
      <c r="Z37" s="5">
        <v>1350</v>
      </c>
      <c r="AA37" s="5">
        <v>1140</v>
      </c>
      <c r="AB37" s="5">
        <v>1462</v>
      </c>
      <c r="AC37" s="5">
        <v>1543</v>
      </c>
      <c r="AD37" s="5">
        <v>1412</v>
      </c>
      <c r="AE37" s="5">
        <v>1401</v>
      </c>
      <c r="AF37" s="5">
        <v>1597</v>
      </c>
      <c r="AG37" s="5">
        <v>1276</v>
      </c>
      <c r="AH37" s="5">
        <v>1401</v>
      </c>
      <c r="AI37" s="5">
        <v>1317</v>
      </c>
      <c r="AJ37" s="5">
        <v>1073</v>
      </c>
      <c r="AK37" s="5">
        <v>1348</v>
      </c>
      <c r="AL37" s="5">
        <v>1343</v>
      </c>
      <c r="AM37" s="5">
        <v>1228</v>
      </c>
      <c r="AN37" s="5">
        <v>1638</v>
      </c>
      <c r="AO37" s="5">
        <v>1546</v>
      </c>
      <c r="AP37" s="5">
        <v>1137</v>
      </c>
      <c r="AQ37" s="5">
        <v>1425</v>
      </c>
      <c r="AR37" s="5">
        <v>1587</v>
      </c>
      <c r="AS37" s="5">
        <v>1498</v>
      </c>
      <c r="AT37" s="5">
        <v>1422</v>
      </c>
      <c r="AU37" s="5">
        <v>1586</v>
      </c>
      <c r="AV37" s="5">
        <v>1440</v>
      </c>
      <c r="AW37" s="5">
        <v>1502</v>
      </c>
      <c r="AX37" s="5">
        <v>1373</v>
      </c>
      <c r="AY37" s="5">
        <v>1478</v>
      </c>
      <c r="AZ37" s="5">
        <v>1475</v>
      </c>
      <c r="BA37" s="5">
        <v>1345</v>
      </c>
      <c r="BB37" s="5">
        <v>1307</v>
      </c>
    </row>
    <row r="38" spans="1:54" x14ac:dyDescent="0.2">
      <c r="A38" s="4"/>
      <c r="B38" s="4"/>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row>
    <row r="39" spans="1:54" x14ac:dyDescent="0.2">
      <c r="A39" s="18" t="s">
        <v>204</v>
      </c>
      <c r="B39" s="19"/>
      <c r="C39" s="20">
        <v>14454</v>
      </c>
      <c r="D39" s="20">
        <v>13310</v>
      </c>
      <c r="E39" s="20">
        <v>14870</v>
      </c>
      <c r="F39" s="20">
        <v>14808</v>
      </c>
      <c r="G39" s="20">
        <v>15175</v>
      </c>
      <c r="H39" s="20">
        <v>15003</v>
      </c>
      <c r="I39" s="20">
        <v>14301</v>
      </c>
      <c r="J39" s="20">
        <v>13738</v>
      </c>
      <c r="K39" s="20">
        <v>14206</v>
      </c>
      <c r="L39" s="20">
        <v>14337</v>
      </c>
      <c r="M39" s="20">
        <v>12891</v>
      </c>
      <c r="N39" s="20">
        <v>13937</v>
      </c>
      <c r="O39" s="20">
        <v>14295</v>
      </c>
      <c r="P39" s="20">
        <v>12774</v>
      </c>
      <c r="Q39" s="20">
        <v>12994</v>
      </c>
      <c r="R39" s="20">
        <v>12926</v>
      </c>
      <c r="S39" s="20">
        <v>12977</v>
      </c>
      <c r="T39" s="20">
        <v>11529</v>
      </c>
      <c r="U39" s="20">
        <v>13005</v>
      </c>
      <c r="V39" s="20">
        <v>11766</v>
      </c>
      <c r="W39" s="20">
        <v>10982</v>
      </c>
      <c r="X39" s="20">
        <v>13645</v>
      </c>
      <c r="Y39" s="20">
        <v>13003</v>
      </c>
      <c r="Z39" s="20">
        <v>13454</v>
      </c>
      <c r="AA39" s="20">
        <v>13381</v>
      </c>
      <c r="AB39" s="20">
        <v>12744</v>
      </c>
      <c r="AC39" s="20">
        <v>13538</v>
      </c>
      <c r="AD39" s="20">
        <v>14505</v>
      </c>
      <c r="AE39" s="20">
        <v>14503</v>
      </c>
      <c r="AF39" s="20">
        <v>14648</v>
      </c>
      <c r="AG39" s="20">
        <v>14098</v>
      </c>
      <c r="AH39" s="20">
        <v>13871</v>
      </c>
      <c r="AI39" s="20">
        <v>13266</v>
      </c>
      <c r="AJ39" s="20">
        <v>14108</v>
      </c>
      <c r="AK39" s="20">
        <v>15646</v>
      </c>
      <c r="AL39" s="20">
        <v>16470</v>
      </c>
      <c r="AM39" s="20">
        <v>17003</v>
      </c>
      <c r="AN39" s="20">
        <v>18474</v>
      </c>
      <c r="AO39" s="20">
        <v>21331</v>
      </c>
      <c r="AP39" s="20">
        <v>17689</v>
      </c>
      <c r="AQ39" s="20">
        <v>18746</v>
      </c>
      <c r="AR39" s="20">
        <v>18234</v>
      </c>
      <c r="AS39" s="20">
        <v>19005</v>
      </c>
      <c r="AT39" s="20">
        <v>19142</v>
      </c>
      <c r="AU39" s="20">
        <v>18747</v>
      </c>
      <c r="AV39" s="20">
        <v>18023</v>
      </c>
      <c r="AW39" s="20">
        <v>17126</v>
      </c>
      <c r="AX39" s="20">
        <v>18657</v>
      </c>
      <c r="AY39" s="20">
        <v>15656</v>
      </c>
      <c r="AZ39" s="20">
        <v>16545</v>
      </c>
      <c r="BA39" s="20">
        <v>14870</v>
      </c>
      <c r="BB39" s="20">
        <v>14765</v>
      </c>
    </row>
    <row r="40" spans="1:54" x14ac:dyDescent="0.2">
      <c r="A40" s="12"/>
      <c r="B40" s="15"/>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row>
    <row r="41" spans="1:54" x14ac:dyDescent="0.2">
      <c r="A41" s="12"/>
      <c r="B41" s="15" t="s">
        <v>205</v>
      </c>
      <c r="C41" s="13">
        <v>41653</v>
      </c>
      <c r="D41" s="13">
        <v>40882</v>
      </c>
      <c r="E41" s="13">
        <v>41894</v>
      </c>
      <c r="F41" s="13">
        <v>43320</v>
      </c>
      <c r="G41" s="13">
        <v>44065</v>
      </c>
      <c r="H41" s="13">
        <v>43319</v>
      </c>
      <c r="I41" s="13">
        <v>40235</v>
      </c>
      <c r="J41" s="13">
        <v>43012</v>
      </c>
      <c r="K41" s="13">
        <v>40450</v>
      </c>
      <c r="L41" s="13">
        <v>39168</v>
      </c>
      <c r="M41" s="13">
        <v>37103</v>
      </c>
      <c r="N41" s="13">
        <v>35387</v>
      </c>
      <c r="O41" s="13">
        <v>39215</v>
      </c>
      <c r="P41" s="13">
        <v>40184</v>
      </c>
      <c r="Q41" s="13">
        <v>41070</v>
      </c>
      <c r="R41" s="13">
        <v>43124</v>
      </c>
      <c r="S41" s="13">
        <v>43086</v>
      </c>
      <c r="T41" s="13">
        <v>42296</v>
      </c>
      <c r="U41" s="13">
        <v>40839</v>
      </c>
      <c r="V41" s="13">
        <v>43860</v>
      </c>
      <c r="W41" s="13">
        <v>40641</v>
      </c>
      <c r="X41" s="13">
        <v>40377</v>
      </c>
      <c r="Y41" s="13">
        <v>41113</v>
      </c>
      <c r="Z41" s="13">
        <v>41688</v>
      </c>
      <c r="AA41" s="13">
        <v>41489</v>
      </c>
      <c r="AB41" s="13">
        <v>39845</v>
      </c>
      <c r="AC41" s="13">
        <v>41122</v>
      </c>
      <c r="AD41" s="13">
        <v>42253</v>
      </c>
      <c r="AE41" s="13">
        <v>41888</v>
      </c>
      <c r="AF41" s="13">
        <v>44039</v>
      </c>
      <c r="AG41" s="13">
        <v>41779</v>
      </c>
      <c r="AH41" s="13">
        <v>43089</v>
      </c>
      <c r="AI41" s="13">
        <v>43722</v>
      </c>
      <c r="AJ41" s="13">
        <v>44995</v>
      </c>
      <c r="AK41" s="13">
        <v>43073</v>
      </c>
      <c r="AL41" s="13">
        <v>39933</v>
      </c>
      <c r="AM41" s="13">
        <v>42604</v>
      </c>
      <c r="AN41" s="13">
        <v>42637</v>
      </c>
      <c r="AO41" s="13">
        <v>42816</v>
      </c>
      <c r="AP41" s="13">
        <v>42461</v>
      </c>
      <c r="AQ41" s="13">
        <v>40800</v>
      </c>
      <c r="AR41" s="13">
        <v>42350</v>
      </c>
      <c r="AS41" s="13">
        <v>41590</v>
      </c>
      <c r="AT41" s="13">
        <v>40188</v>
      </c>
      <c r="AU41" s="13">
        <v>41902</v>
      </c>
      <c r="AV41" s="13">
        <v>44916</v>
      </c>
      <c r="AW41" s="13">
        <v>42309</v>
      </c>
      <c r="AX41" s="13">
        <v>43820</v>
      </c>
      <c r="AY41" s="13">
        <v>42198</v>
      </c>
      <c r="AZ41" s="13">
        <v>40461</v>
      </c>
      <c r="BA41" s="13">
        <v>38774</v>
      </c>
      <c r="BB41" s="13">
        <v>33194</v>
      </c>
    </row>
    <row r="42" spans="1:54" x14ac:dyDescent="0.2">
      <c r="A42" s="12"/>
      <c r="B42" s="15" t="s">
        <v>206</v>
      </c>
      <c r="C42" s="13">
        <v>47</v>
      </c>
      <c r="D42" s="13">
        <v>22</v>
      </c>
      <c r="E42" s="13">
        <v>37</v>
      </c>
      <c r="F42" s="13">
        <v>15</v>
      </c>
      <c r="G42" s="13">
        <v>1</v>
      </c>
      <c r="H42" s="13">
        <v>0</v>
      </c>
      <c r="I42" s="13">
        <v>0</v>
      </c>
      <c r="J42" s="13">
        <v>0</v>
      </c>
      <c r="K42" s="13">
        <v>0</v>
      </c>
      <c r="L42" s="13">
        <v>0</v>
      </c>
      <c r="M42" s="13">
        <v>0</v>
      </c>
      <c r="N42" s="13">
        <v>0</v>
      </c>
      <c r="O42" s="13">
        <v>0</v>
      </c>
      <c r="P42" s="13">
        <v>0</v>
      </c>
      <c r="Q42" s="13">
        <v>0</v>
      </c>
      <c r="R42" s="13">
        <v>0</v>
      </c>
      <c r="S42" s="13">
        <v>0</v>
      </c>
      <c r="T42" s="13">
        <v>0</v>
      </c>
      <c r="U42" s="13">
        <v>0</v>
      </c>
      <c r="V42" s="13">
        <v>0</v>
      </c>
      <c r="W42" s="13">
        <v>0</v>
      </c>
      <c r="X42" s="13">
        <v>0</v>
      </c>
      <c r="Y42" s="13">
        <v>0</v>
      </c>
      <c r="Z42" s="13">
        <v>1</v>
      </c>
      <c r="AA42" s="13">
        <v>0</v>
      </c>
      <c r="AB42" s="13">
        <v>0</v>
      </c>
      <c r="AC42" s="13">
        <v>0</v>
      </c>
      <c r="AD42" s="13">
        <v>0</v>
      </c>
      <c r="AE42" s="13">
        <v>0</v>
      </c>
      <c r="AF42" s="13">
        <v>0</v>
      </c>
      <c r="AG42" s="13">
        <v>0</v>
      </c>
      <c r="AH42" s="13">
        <v>0</v>
      </c>
      <c r="AI42" s="13">
        <v>0</v>
      </c>
      <c r="AJ42" s="13">
        <v>0</v>
      </c>
      <c r="AK42" s="13">
        <v>0</v>
      </c>
      <c r="AL42" s="13">
        <v>0</v>
      </c>
      <c r="AM42" s="13">
        <v>0</v>
      </c>
      <c r="AN42" s="13">
        <v>0</v>
      </c>
      <c r="AO42" s="13">
        <v>0</v>
      </c>
      <c r="AP42" s="13">
        <v>0</v>
      </c>
      <c r="AQ42" s="13">
        <v>0</v>
      </c>
      <c r="AR42" s="13">
        <v>0</v>
      </c>
      <c r="AS42" s="13">
        <v>0</v>
      </c>
      <c r="AT42" s="13">
        <v>0</v>
      </c>
      <c r="AU42" s="13">
        <v>0</v>
      </c>
      <c r="AV42" s="13">
        <v>0</v>
      </c>
      <c r="AW42" s="13">
        <v>0</v>
      </c>
      <c r="AX42" s="13">
        <v>0</v>
      </c>
      <c r="AY42" s="13">
        <v>0</v>
      </c>
      <c r="AZ42" s="13">
        <v>0</v>
      </c>
      <c r="BA42" s="13">
        <v>0</v>
      </c>
      <c r="BB42" s="13">
        <v>0</v>
      </c>
    </row>
    <row r="43" spans="1:54" x14ac:dyDescent="0.2">
      <c r="A43" s="12"/>
      <c r="B43" s="15"/>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row>
    <row r="44" spans="1:54" x14ac:dyDescent="0.2">
      <c r="A44" s="18" t="s">
        <v>207</v>
      </c>
      <c r="B44" s="18"/>
      <c r="C44" s="20">
        <v>41700</v>
      </c>
      <c r="D44" s="20">
        <v>40904</v>
      </c>
      <c r="E44" s="20">
        <v>41931</v>
      </c>
      <c r="F44" s="20">
        <v>43335</v>
      </c>
      <c r="G44" s="20">
        <v>44066</v>
      </c>
      <c r="H44" s="20">
        <v>43319</v>
      </c>
      <c r="I44" s="20">
        <v>40235</v>
      </c>
      <c r="J44" s="20">
        <v>43012</v>
      </c>
      <c r="K44" s="20">
        <v>40450</v>
      </c>
      <c r="L44" s="20">
        <v>39168</v>
      </c>
      <c r="M44" s="20">
        <v>37103</v>
      </c>
      <c r="N44" s="20">
        <v>35387</v>
      </c>
      <c r="O44" s="20">
        <v>39215</v>
      </c>
      <c r="P44" s="20">
        <v>40184</v>
      </c>
      <c r="Q44" s="20">
        <v>41070</v>
      </c>
      <c r="R44" s="20">
        <v>43124</v>
      </c>
      <c r="S44" s="20">
        <v>43086</v>
      </c>
      <c r="T44" s="20">
        <v>42296</v>
      </c>
      <c r="U44" s="20">
        <v>40839</v>
      </c>
      <c r="V44" s="20">
        <v>43860</v>
      </c>
      <c r="W44" s="20">
        <v>40641</v>
      </c>
      <c r="X44" s="20">
        <v>40377</v>
      </c>
      <c r="Y44" s="20">
        <v>41113</v>
      </c>
      <c r="Z44" s="20">
        <v>41689</v>
      </c>
      <c r="AA44" s="20">
        <v>41489</v>
      </c>
      <c r="AB44" s="20">
        <v>39845</v>
      </c>
      <c r="AC44" s="20">
        <v>41122</v>
      </c>
      <c r="AD44" s="20">
        <v>42253</v>
      </c>
      <c r="AE44" s="20">
        <v>41888</v>
      </c>
      <c r="AF44" s="20">
        <v>44039</v>
      </c>
      <c r="AG44" s="20">
        <v>41779</v>
      </c>
      <c r="AH44" s="20">
        <v>43089</v>
      </c>
      <c r="AI44" s="20">
        <v>43722</v>
      </c>
      <c r="AJ44" s="20">
        <v>44995</v>
      </c>
      <c r="AK44" s="20">
        <v>43073</v>
      </c>
      <c r="AL44" s="20">
        <v>39933</v>
      </c>
      <c r="AM44" s="20">
        <v>42604</v>
      </c>
      <c r="AN44" s="20">
        <v>42637</v>
      </c>
      <c r="AO44" s="20">
        <v>42816</v>
      </c>
      <c r="AP44" s="20">
        <v>42461</v>
      </c>
      <c r="AQ44" s="20">
        <v>40800</v>
      </c>
      <c r="AR44" s="20">
        <v>42350</v>
      </c>
      <c r="AS44" s="20">
        <v>41590</v>
      </c>
      <c r="AT44" s="20">
        <v>40188</v>
      </c>
      <c r="AU44" s="20">
        <v>41902</v>
      </c>
      <c r="AV44" s="20">
        <v>44916</v>
      </c>
      <c r="AW44" s="20">
        <v>42309</v>
      </c>
      <c r="AX44" s="20">
        <v>43820</v>
      </c>
      <c r="AY44" s="20">
        <v>42198</v>
      </c>
      <c r="AZ44" s="20">
        <v>40461</v>
      </c>
      <c r="BA44" s="20">
        <v>38774</v>
      </c>
      <c r="BB44" s="20">
        <v>33194</v>
      </c>
    </row>
    <row r="45" spans="1:54" x14ac:dyDescent="0.2">
      <c r="A45" s="12"/>
      <c r="B45" s="14"/>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row>
    <row r="46" spans="1:54" ht="13.5" thickBot="1" x14ac:dyDescent="0.25">
      <c r="A46" s="21" t="s">
        <v>208</v>
      </c>
      <c r="B46" s="22"/>
      <c r="C46" s="23">
        <v>97318</v>
      </c>
      <c r="D46" s="23">
        <v>95729</v>
      </c>
      <c r="E46" s="23">
        <v>99274</v>
      </c>
      <c r="F46" s="23">
        <v>101828</v>
      </c>
      <c r="G46" s="23">
        <v>102448</v>
      </c>
      <c r="H46" s="23">
        <v>101205</v>
      </c>
      <c r="I46" s="23">
        <v>98079</v>
      </c>
      <c r="J46" s="23">
        <v>99175</v>
      </c>
      <c r="K46" s="23">
        <v>98026</v>
      </c>
      <c r="L46" s="23">
        <v>95367</v>
      </c>
      <c r="M46" s="23">
        <v>92227</v>
      </c>
      <c r="N46" s="23">
        <v>90467</v>
      </c>
      <c r="O46" s="23">
        <v>95613</v>
      </c>
      <c r="P46" s="23">
        <v>93719</v>
      </c>
      <c r="Q46" s="23">
        <v>95990</v>
      </c>
      <c r="R46" s="23">
        <v>97285</v>
      </c>
      <c r="S46" s="23">
        <v>98486</v>
      </c>
      <c r="T46" s="23">
        <v>94970</v>
      </c>
      <c r="U46" s="23">
        <v>95134</v>
      </c>
      <c r="V46" s="23">
        <v>97895</v>
      </c>
      <c r="W46" s="23">
        <v>92738</v>
      </c>
      <c r="X46" s="23">
        <v>94571</v>
      </c>
      <c r="Y46" s="23">
        <v>95884</v>
      </c>
      <c r="Z46" s="23">
        <v>96553</v>
      </c>
      <c r="AA46" s="23">
        <v>96521</v>
      </c>
      <c r="AB46" s="23">
        <v>95003</v>
      </c>
      <c r="AC46" s="23">
        <v>94275</v>
      </c>
      <c r="AD46" s="23">
        <v>96136</v>
      </c>
      <c r="AE46" s="23">
        <v>98831</v>
      </c>
      <c r="AF46" s="23">
        <v>102029</v>
      </c>
      <c r="AG46" s="23">
        <v>98228</v>
      </c>
      <c r="AH46" s="23">
        <v>99590</v>
      </c>
      <c r="AI46" s="23">
        <v>99035</v>
      </c>
      <c r="AJ46" s="23">
        <v>102109</v>
      </c>
      <c r="AK46" s="23">
        <v>104470</v>
      </c>
      <c r="AL46" s="23">
        <v>100115</v>
      </c>
      <c r="AM46" s="23">
        <v>106457</v>
      </c>
      <c r="AN46" s="23">
        <v>108337</v>
      </c>
      <c r="AO46" s="23">
        <v>113567</v>
      </c>
      <c r="AP46" s="23">
        <v>108349</v>
      </c>
      <c r="AQ46" s="23">
        <v>107283</v>
      </c>
      <c r="AR46" s="23">
        <v>106641</v>
      </c>
      <c r="AS46" s="23">
        <v>107154</v>
      </c>
      <c r="AT46" s="23">
        <v>106703</v>
      </c>
      <c r="AU46" s="23">
        <v>108769</v>
      </c>
      <c r="AV46" s="23">
        <v>110244</v>
      </c>
      <c r="AW46" s="23">
        <v>104393</v>
      </c>
      <c r="AX46" s="23">
        <v>107029</v>
      </c>
      <c r="AY46" s="23">
        <v>101930</v>
      </c>
      <c r="AZ46" s="23">
        <v>99696</v>
      </c>
      <c r="BA46" s="23">
        <v>99321</v>
      </c>
      <c r="BB46" s="23">
        <v>88077</v>
      </c>
    </row>
    <row r="47" spans="1:54" ht="13.5" thickTop="1" x14ac:dyDescent="0.2"/>
    <row r="48" spans="1:54" x14ac:dyDescent="0.2">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row>
    <row r="49" spans="1:54" ht="13.5" thickBot="1" x14ac:dyDescent="0.25">
      <c r="A49" s="46" t="s">
        <v>209</v>
      </c>
      <c r="B49" s="22"/>
      <c r="C49" s="23">
        <v>4031.9950790000003</v>
      </c>
      <c r="D49" s="23">
        <v>3957.8012039999999</v>
      </c>
      <c r="E49" s="23">
        <v>4138.8554899999999</v>
      </c>
      <c r="F49" s="23">
        <v>4062.6012339999993</v>
      </c>
      <c r="G49" s="23">
        <v>4105.2438189999993</v>
      </c>
      <c r="H49" s="23">
        <v>4228.6962370000001</v>
      </c>
      <c r="I49" s="23">
        <v>4041.1121529999996</v>
      </c>
      <c r="J49" s="23">
        <v>4235.7278960000003</v>
      </c>
      <c r="K49" s="23">
        <v>4073.5086150000002</v>
      </c>
      <c r="L49" s="23">
        <v>3975.5284470000001</v>
      </c>
      <c r="M49" s="23">
        <v>3926.4975119999999</v>
      </c>
      <c r="N49" s="23">
        <v>3807.9484860000002</v>
      </c>
      <c r="O49" s="23">
        <v>3977.3573589999992</v>
      </c>
      <c r="P49" s="23">
        <v>3950.042927</v>
      </c>
      <c r="Q49" s="23">
        <v>3923.0948410000001</v>
      </c>
      <c r="R49" s="23">
        <v>3889.8639539999999</v>
      </c>
      <c r="S49" s="23">
        <v>4018.9329169999996</v>
      </c>
      <c r="T49" s="23">
        <v>3869.8924150000003</v>
      </c>
      <c r="U49" s="23">
        <v>3663.6222210000001</v>
      </c>
      <c r="V49" s="23">
        <v>3918.8302929999995</v>
      </c>
      <c r="W49" s="23">
        <v>3530.5528379999996</v>
      </c>
      <c r="X49" s="23">
        <v>3739.6739709999997</v>
      </c>
      <c r="Y49" s="23">
        <v>3828.1633029999998</v>
      </c>
      <c r="Z49" s="23">
        <v>3844.8722950000001</v>
      </c>
      <c r="AA49" s="23">
        <v>3760.2832039999998</v>
      </c>
      <c r="AB49" s="23">
        <v>3686.7417709999986</v>
      </c>
      <c r="AC49" s="23">
        <v>3819.7900690000006</v>
      </c>
      <c r="AD49" s="23">
        <v>3901.5096009999997</v>
      </c>
      <c r="AE49" s="23">
        <v>4019.2079879999997</v>
      </c>
      <c r="AF49" s="23">
        <v>4052.9331240000001</v>
      </c>
      <c r="AG49" s="23">
        <v>3947.2363610000002</v>
      </c>
      <c r="AH49" s="23">
        <v>4121.255028999999</v>
      </c>
      <c r="AI49" s="23">
        <v>3915.5247649999997</v>
      </c>
      <c r="AJ49" s="23">
        <v>4047.5358569999994</v>
      </c>
      <c r="AK49" s="23">
        <v>4152.0593759999992</v>
      </c>
      <c r="AL49" s="23">
        <v>3944.2779769999988</v>
      </c>
      <c r="AM49" s="23">
        <v>4326.8308059999999</v>
      </c>
      <c r="AN49" s="23">
        <v>4351.6970179999998</v>
      </c>
      <c r="AO49" s="23">
        <v>4577.1616940000004</v>
      </c>
      <c r="AP49" s="23">
        <v>4524.7228569999997</v>
      </c>
      <c r="AQ49" s="23">
        <v>4626.5066619999998</v>
      </c>
      <c r="AR49" s="23">
        <v>4661.255502</v>
      </c>
      <c r="AS49" s="23">
        <v>4579.5007999999998</v>
      </c>
      <c r="AT49" s="23">
        <v>4648.8318229999995</v>
      </c>
      <c r="AU49" s="23">
        <v>4635.3987739999993</v>
      </c>
      <c r="AV49" s="23">
        <v>4738.7913250000001</v>
      </c>
      <c r="AW49" s="23">
        <v>4545.6696300000003</v>
      </c>
      <c r="AX49" s="23">
        <v>4817.0265669999999</v>
      </c>
      <c r="AY49" s="23">
        <v>4252.6724089999998</v>
      </c>
      <c r="AZ49" s="23">
        <v>4308.2734329999994</v>
      </c>
      <c r="BA49" s="23">
        <v>4370.3057959999996</v>
      </c>
      <c r="BB49" s="23">
        <v>3748.0144970000001</v>
      </c>
    </row>
    <row r="50" spans="1:54" ht="13.5" thickTop="1" x14ac:dyDescent="0.2"/>
  </sheetData>
  <sheetProtection algorithmName="SHA-512" hashValue="yT6pl+R4CHvL4loDjlOIROU0/kRyRmt3CnvrLU1iMEvyhNxg2tWwcjcqNVTnF8GOYk0qaPnt3w5o7gWdbIY66Q==" saltValue="Cb7KXswEAlbNSYO1EER7SQ==" spinCount="100000" sheet="1" objects="1" scenarios="1"/>
  <mergeCells count="1">
    <mergeCell ref="A1:BC1"/>
  </mergeCells>
  <pageMargins left="0.17" right="0.17" top="0.17" bottom="0.5" header="0.17" footer="0.5"/>
  <pageSetup scale="70" fitToWidth="0" orientation="landscape" r:id="rId1"/>
  <headerFooter alignWithMargins="0"/>
  <colBreaks count="3" manualBreakCount="3">
    <brk id="15" max="48" man="1"/>
    <brk id="28" max="48" man="1"/>
    <brk id="41" max="48"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106FC-2F90-4BED-8942-327E2E5873BA}">
  <sheetPr codeName="Sheet15">
    <tabColor rgb="FF92D050"/>
  </sheetPr>
  <dimension ref="A1:BA54"/>
  <sheetViews>
    <sheetView zoomScaleNormal="100" workbookViewId="0">
      <pane xSplit="1" ySplit="3" topLeftCell="N4" activePane="bottomRight" state="frozen"/>
      <selection activeCell="C22" sqref="C22"/>
      <selection pane="topRight" activeCell="C22" sqref="C22"/>
      <selection pane="bottomLeft" activeCell="C22" sqref="C22"/>
      <selection pane="bottomRight" activeCell="C22" sqref="C22"/>
    </sheetView>
  </sheetViews>
  <sheetFormatPr defaultColWidth="6.7109375" defaultRowHeight="12.75" x14ac:dyDescent="0.2"/>
  <cols>
    <col min="1" max="1" width="50.42578125" style="42" bestFit="1" customWidth="1"/>
    <col min="2" max="2" width="9.42578125" style="43" customWidth="1"/>
    <col min="3" max="53" width="9.42578125" style="42" customWidth="1"/>
    <col min="54" max="16384" width="6.7109375" style="42"/>
  </cols>
  <sheetData>
    <row r="1" spans="1:53" ht="23.25" x14ac:dyDescent="0.35">
      <c r="A1" s="145" t="s">
        <v>236</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c r="AE1" s="145"/>
      <c r="AF1" s="145"/>
      <c r="AG1" s="145"/>
      <c r="AH1" s="145"/>
      <c r="AI1" s="145"/>
      <c r="AJ1" s="145"/>
      <c r="AK1" s="145"/>
      <c r="AL1" s="145"/>
      <c r="AM1" s="145"/>
      <c r="AN1" s="145"/>
      <c r="AO1" s="145"/>
      <c r="AP1" s="145"/>
      <c r="AQ1" s="145"/>
      <c r="AR1" s="145"/>
      <c r="AS1" s="145"/>
      <c r="AT1" s="145"/>
      <c r="AU1" s="145"/>
      <c r="AV1" s="145"/>
      <c r="AW1" s="145"/>
      <c r="AX1" s="145"/>
      <c r="AY1" s="145"/>
      <c r="AZ1" s="145"/>
      <c r="BA1" s="145"/>
    </row>
    <row r="2" spans="1:53" ht="13.5" thickBot="1" x14ac:dyDescent="0.25">
      <c r="A2" s="7" t="s">
        <v>223</v>
      </c>
      <c r="B2" s="5">
        <v>1</v>
      </c>
      <c r="C2" s="5">
        <v>2</v>
      </c>
      <c r="D2" s="5">
        <v>3</v>
      </c>
      <c r="E2" s="5">
        <v>4</v>
      </c>
      <c r="F2" s="5">
        <v>5</v>
      </c>
      <c r="G2" s="5">
        <v>6</v>
      </c>
      <c r="H2" s="5">
        <v>7</v>
      </c>
      <c r="I2" s="5">
        <v>8</v>
      </c>
      <c r="J2" s="5">
        <v>9</v>
      </c>
      <c r="K2" s="5">
        <v>10</v>
      </c>
      <c r="L2" s="5">
        <v>11</v>
      </c>
      <c r="M2" s="5">
        <v>12</v>
      </c>
      <c r="N2" s="5">
        <v>13</v>
      </c>
      <c r="O2" s="5">
        <v>14</v>
      </c>
      <c r="P2" s="5">
        <v>15</v>
      </c>
      <c r="Q2" s="5">
        <v>16</v>
      </c>
      <c r="R2" s="5">
        <v>17</v>
      </c>
      <c r="S2" s="5">
        <v>18</v>
      </c>
      <c r="T2" s="5">
        <v>19</v>
      </c>
      <c r="U2" s="5">
        <v>20</v>
      </c>
      <c r="V2" s="5">
        <v>21</v>
      </c>
      <c r="W2" s="5">
        <v>22</v>
      </c>
      <c r="X2" s="5">
        <v>23</v>
      </c>
      <c r="Y2" s="5">
        <v>24</v>
      </c>
      <c r="Z2" s="5">
        <v>25</v>
      </c>
      <c r="AA2" s="5">
        <v>26</v>
      </c>
      <c r="AB2" s="5">
        <v>27</v>
      </c>
      <c r="AC2" s="5">
        <v>28</v>
      </c>
      <c r="AD2" s="5">
        <v>29</v>
      </c>
      <c r="AE2" s="5">
        <v>30</v>
      </c>
      <c r="AF2" s="5">
        <v>31</v>
      </c>
      <c r="AG2" s="5">
        <v>32</v>
      </c>
      <c r="AH2" s="5">
        <v>33</v>
      </c>
      <c r="AI2" s="5">
        <v>34</v>
      </c>
      <c r="AJ2" s="5">
        <v>35</v>
      </c>
      <c r="AK2" s="5">
        <v>36</v>
      </c>
      <c r="AL2" s="5">
        <v>37</v>
      </c>
      <c r="AM2" s="5">
        <v>38</v>
      </c>
      <c r="AN2" s="5">
        <v>39</v>
      </c>
      <c r="AO2" s="5">
        <v>40</v>
      </c>
      <c r="AP2" s="5">
        <v>41</v>
      </c>
      <c r="AQ2" s="5">
        <v>42</v>
      </c>
      <c r="AR2" s="5">
        <v>43</v>
      </c>
      <c r="AS2" s="5">
        <v>44</v>
      </c>
      <c r="AT2" s="5">
        <v>45</v>
      </c>
      <c r="AU2" s="5">
        <v>46</v>
      </c>
      <c r="AV2" s="5">
        <v>47</v>
      </c>
      <c r="AW2" s="5">
        <v>48</v>
      </c>
      <c r="AX2" s="5">
        <v>49</v>
      </c>
      <c r="AY2" s="5">
        <v>50</v>
      </c>
      <c r="AZ2" s="5">
        <v>51</v>
      </c>
      <c r="BA2" s="5">
        <v>52</v>
      </c>
    </row>
    <row r="3" spans="1:53" s="45" customFormat="1" ht="24.75" thickBot="1" x14ac:dyDescent="0.25">
      <c r="A3" s="50" t="s">
        <v>179</v>
      </c>
      <c r="B3" s="51">
        <v>46026</v>
      </c>
      <c r="C3" s="51">
        <v>46033</v>
      </c>
      <c r="D3" s="51">
        <v>46040</v>
      </c>
      <c r="E3" s="51">
        <v>46047</v>
      </c>
      <c r="F3" s="51">
        <v>46054</v>
      </c>
      <c r="G3" s="51">
        <v>46061</v>
      </c>
      <c r="H3" s="51">
        <v>46068</v>
      </c>
      <c r="I3" s="51">
        <v>46075</v>
      </c>
      <c r="J3" s="51">
        <v>46082</v>
      </c>
      <c r="K3" s="51">
        <v>46089</v>
      </c>
      <c r="L3" s="51">
        <v>46096</v>
      </c>
      <c r="M3" s="51">
        <v>46103</v>
      </c>
      <c r="N3" s="51">
        <v>46110</v>
      </c>
      <c r="O3" s="51">
        <v>46117</v>
      </c>
      <c r="P3" s="51">
        <v>46124</v>
      </c>
      <c r="Q3" s="51">
        <v>46131</v>
      </c>
      <c r="R3" s="51">
        <v>46138</v>
      </c>
      <c r="S3" s="51">
        <v>46145</v>
      </c>
      <c r="T3" s="51">
        <v>46152</v>
      </c>
      <c r="U3" s="51">
        <v>46159</v>
      </c>
      <c r="V3" s="51">
        <v>46166</v>
      </c>
      <c r="W3" s="51">
        <v>46173</v>
      </c>
      <c r="X3" s="51">
        <v>45809</v>
      </c>
      <c r="Y3" s="51">
        <v>46187</v>
      </c>
      <c r="Z3" s="51">
        <v>46194</v>
      </c>
      <c r="AA3" s="51">
        <v>46201</v>
      </c>
      <c r="AB3" s="51">
        <v>46208</v>
      </c>
      <c r="AC3" s="51">
        <v>46215</v>
      </c>
      <c r="AD3" s="51">
        <v>46222</v>
      </c>
      <c r="AE3" s="51">
        <v>46229</v>
      </c>
      <c r="AF3" s="51">
        <v>46236</v>
      </c>
      <c r="AG3" s="51">
        <v>46243</v>
      </c>
      <c r="AH3" s="51">
        <v>46250</v>
      </c>
      <c r="AI3" s="51">
        <v>46257</v>
      </c>
      <c r="AJ3" s="51">
        <v>46264</v>
      </c>
      <c r="AK3" s="51">
        <v>46271</v>
      </c>
      <c r="AL3" s="51">
        <v>46278</v>
      </c>
      <c r="AM3" s="51">
        <v>46285</v>
      </c>
      <c r="AN3" s="51">
        <v>46292</v>
      </c>
      <c r="AO3" s="51">
        <v>46299</v>
      </c>
      <c r="AP3" s="51">
        <v>46306</v>
      </c>
      <c r="AQ3" s="51">
        <v>46313</v>
      </c>
      <c r="AR3" s="51">
        <v>46320</v>
      </c>
      <c r="AS3" s="51">
        <v>46327</v>
      </c>
      <c r="AT3" s="51">
        <v>46334</v>
      </c>
      <c r="AU3" s="51">
        <v>46341</v>
      </c>
      <c r="AV3" s="51">
        <v>46348</v>
      </c>
      <c r="AW3" s="51">
        <v>46355</v>
      </c>
      <c r="AX3" s="51">
        <v>46362</v>
      </c>
      <c r="AY3" s="51">
        <v>46369</v>
      </c>
      <c r="AZ3" s="51">
        <v>46376</v>
      </c>
      <c r="BA3" s="51">
        <v>46383</v>
      </c>
    </row>
    <row r="4" spans="1:53" s="47" customFormat="1" x14ac:dyDescent="0.2">
      <c r="A4" s="73" t="s">
        <v>173</v>
      </c>
    </row>
    <row r="5" spans="1:53" s="47" customFormat="1" x14ac:dyDescent="0.2">
      <c r="A5" s="74" t="s">
        <v>155</v>
      </c>
      <c r="B5" s="75">
        <v>5204</v>
      </c>
      <c r="C5" s="75">
        <v>5205</v>
      </c>
      <c r="D5" s="75">
        <v>5130</v>
      </c>
      <c r="E5" s="75">
        <v>5186</v>
      </c>
      <c r="F5" s="75">
        <v>5179</v>
      </c>
      <c r="G5" s="75">
        <v>5212</v>
      </c>
      <c r="H5" s="75">
        <v>5154</v>
      </c>
      <c r="I5" s="75">
        <v>5534</v>
      </c>
      <c r="J5" s="75">
        <v>5233</v>
      </c>
      <c r="K5" s="75">
        <v>5311</v>
      </c>
      <c r="L5" s="75">
        <v>5153</v>
      </c>
      <c r="M5" s="75">
        <v>5512</v>
      </c>
      <c r="N5" s="75">
        <v>5588</v>
      </c>
      <c r="O5" s="75">
        <v>5565</v>
      </c>
      <c r="P5" s="75">
        <v>5660</v>
      </c>
      <c r="Q5" s="75">
        <v>5497</v>
      </c>
      <c r="R5" s="75">
        <v>5304</v>
      </c>
      <c r="S5" s="75">
        <v>5044</v>
      </c>
      <c r="T5" s="75">
        <v>5575</v>
      </c>
      <c r="U5" s="75">
        <v>5470</v>
      </c>
      <c r="V5" s="75">
        <v>5719</v>
      </c>
      <c r="W5" s="75">
        <v>5361</v>
      </c>
      <c r="X5" s="75">
        <v>5537</v>
      </c>
      <c r="Y5" s="75">
        <v>5200</v>
      </c>
      <c r="Z5" s="75">
        <v>5366</v>
      </c>
      <c r="AA5" s="75">
        <v>5049</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c r="BA5" s="75">
        <v>0</v>
      </c>
    </row>
    <row r="6" spans="1:53" s="47" customFormat="1" x14ac:dyDescent="0.2">
      <c r="A6" s="76" t="s">
        <v>157</v>
      </c>
      <c r="B6" s="13">
        <v>13802</v>
      </c>
      <c r="C6" s="13">
        <v>13580</v>
      </c>
      <c r="D6" s="13">
        <v>13249</v>
      </c>
      <c r="E6" s="13">
        <v>12414</v>
      </c>
      <c r="F6" s="13">
        <v>13516</v>
      </c>
      <c r="G6" s="13">
        <v>13750</v>
      </c>
      <c r="H6" s="13">
        <v>13390</v>
      </c>
      <c r="I6" s="13">
        <v>13566</v>
      </c>
      <c r="J6" s="13">
        <v>12958</v>
      </c>
      <c r="K6" s="13">
        <v>13309</v>
      </c>
      <c r="L6" s="13">
        <v>13339</v>
      </c>
      <c r="M6" s="13">
        <v>13273</v>
      </c>
      <c r="N6" s="13">
        <v>13729</v>
      </c>
      <c r="O6" s="13">
        <v>12863</v>
      </c>
      <c r="P6" s="13">
        <v>13400</v>
      </c>
      <c r="Q6" s="13">
        <v>12877</v>
      </c>
      <c r="R6" s="13">
        <v>13022</v>
      </c>
      <c r="S6" s="13">
        <v>13334</v>
      </c>
      <c r="T6" s="13">
        <v>12977</v>
      </c>
      <c r="U6" s="13">
        <v>13236</v>
      </c>
      <c r="V6" s="13">
        <v>12806</v>
      </c>
      <c r="W6" s="13">
        <v>12485</v>
      </c>
      <c r="X6" s="13">
        <v>13137</v>
      </c>
      <c r="Y6" s="13">
        <v>12643</v>
      </c>
      <c r="Z6" s="13">
        <v>13060</v>
      </c>
      <c r="AA6" s="13">
        <v>12470</v>
      </c>
      <c r="AB6" s="13">
        <v>0</v>
      </c>
      <c r="AC6" s="13">
        <v>0</v>
      </c>
      <c r="AD6" s="13">
        <v>0</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v>0</v>
      </c>
      <c r="AW6" s="13">
        <v>0</v>
      </c>
      <c r="AX6" s="13">
        <v>0</v>
      </c>
      <c r="AY6" s="13">
        <v>0</v>
      </c>
      <c r="AZ6" s="13">
        <v>0</v>
      </c>
      <c r="BA6" s="13">
        <v>0</v>
      </c>
    </row>
    <row r="7" spans="1:53" s="47" customFormat="1" x14ac:dyDescent="0.2">
      <c r="A7" s="76" t="s">
        <v>159</v>
      </c>
      <c r="B7" s="13">
        <v>15266</v>
      </c>
      <c r="C7" s="13">
        <v>16688</v>
      </c>
      <c r="D7" s="13">
        <v>16291</v>
      </c>
      <c r="E7" s="13">
        <v>15079</v>
      </c>
      <c r="F7" s="13">
        <v>15928</v>
      </c>
      <c r="G7" s="13">
        <v>17794</v>
      </c>
      <c r="H7" s="13">
        <v>16537</v>
      </c>
      <c r="I7" s="13">
        <v>17039</v>
      </c>
      <c r="J7" s="13">
        <v>16576</v>
      </c>
      <c r="K7" s="13">
        <v>16952</v>
      </c>
      <c r="L7" s="13">
        <v>16540</v>
      </c>
      <c r="M7" s="13">
        <v>18604</v>
      </c>
      <c r="N7" s="13">
        <v>15219</v>
      </c>
      <c r="O7" s="13">
        <v>17932</v>
      </c>
      <c r="P7" s="13">
        <v>16813</v>
      </c>
      <c r="Q7" s="13">
        <v>16710</v>
      </c>
      <c r="R7" s="13">
        <v>18471</v>
      </c>
      <c r="S7" s="13">
        <v>16242</v>
      </c>
      <c r="T7" s="13">
        <v>19635</v>
      </c>
      <c r="U7" s="13">
        <v>18367</v>
      </c>
      <c r="V7" s="13">
        <v>18473</v>
      </c>
      <c r="W7" s="13">
        <v>19107</v>
      </c>
      <c r="X7" s="13">
        <v>17290</v>
      </c>
      <c r="Y7" s="13">
        <v>17107</v>
      </c>
      <c r="Z7" s="13">
        <v>16116</v>
      </c>
      <c r="AA7" s="13">
        <v>17441</v>
      </c>
      <c r="AB7" s="13">
        <v>0</v>
      </c>
      <c r="AC7" s="13">
        <v>0</v>
      </c>
      <c r="AD7" s="13">
        <v>0</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v>0</v>
      </c>
      <c r="AW7" s="13">
        <v>0</v>
      </c>
      <c r="AX7" s="13">
        <v>0</v>
      </c>
      <c r="AY7" s="13">
        <v>0</v>
      </c>
      <c r="AZ7" s="13">
        <v>0</v>
      </c>
      <c r="BA7" s="13">
        <v>0</v>
      </c>
    </row>
    <row r="8" spans="1:53" s="47" customFormat="1" x14ac:dyDescent="0.2">
      <c r="A8" s="76" t="s">
        <v>161</v>
      </c>
      <c r="B8" s="13">
        <v>2426</v>
      </c>
      <c r="C8" s="13">
        <v>2825</v>
      </c>
      <c r="D8" s="13">
        <v>3187</v>
      </c>
      <c r="E8" s="13">
        <v>2968</v>
      </c>
      <c r="F8" s="13">
        <v>3788</v>
      </c>
      <c r="G8" s="13">
        <v>3960</v>
      </c>
      <c r="H8" s="13">
        <v>3904</v>
      </c>
      <c r="I8" s="13">
        <v>4200</v>
      </c>
      <c r="J8" s="13">
        <v>4540</v>
      </c>
      <c r="K8" s="13">
        <v>4390</v>
      </c>
      <c r="L8" s="13">
        <v>4535</v>
      </c>
      <c r="M8" s="13">
        <v>4631</v>
      </c>
      <c r="N8" s="13">
        <v>4564</v>
      </c>
      <c r="O8" s="13">
        <v>4241</v>
      </c>
      <c r="P8" s="13">
        <v>4226</v>
      </c>
      <c r="Q8" s="13">
        <v>4835</v>
      </c>
      <c r="R8" s="13">
        <v>4235</v>
      </c>
      <c r="S8" s="13">
        <v>4503</v>
      </c>
      <c r="T8" s="13">
        <v>4332</v>
      </c>
      <c r="U8" s="13">
        <v>4539</v>
      </c>
      <c r="V8" s="13">
        <v>4662</v>
      </c>
      <c r="W8" s="13">
        <v>4639</v>
      </c>
      <c r="X8" s="13">
        <v>4669</v>
      </c>
      <c r="Y8" s="13">
        <v>4425</v>
      </c>
      <c r="Z8" s="13">
        <v>4588</v>
      </c>
      <c r="AA8" s="13">
        <v>4096</v>
      </c>
      <c r="AB8" s="13">
        <v>0</v>
      </c>
      <c r="AC8" s="13">
        <v>0</v>
      </c>
      <c r="AD8" s="13">
        <v>0</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v>0</v>
      </c>
      <c r="AW8" s="13">
        <v>0</v>
      </c>
      <c r="AX8" s="13">
        <v>0</v>
      </c>
      <c r="AY8" s="13">
        <v>0</v>
      </c>
      <c r="AZ8" s="13">
        <v>0</v>
      </c>
      <c r="BA8" s="13">
        <v>0</v>
      </c>
    </row>
    <row r="9" spans="1:53" s="47" customFormat="1" x14ac:dyDescent="0.2">
      <c r="A9" s="76" t="s">
        <v>163</v>
      </c>
      <c r="B9" s="13">
        <v>8813</v>
      </c>
      <c r="C9" s="13">
        <v>9604</v>
      </c>
      <c r="D9" s="13">
        <v>8512</v>
      </c>
      <c r="E9" s="13">
        <v>8173</v>
      </c>
      <c r="F9" s="13">
        <v>7944</v>
      </c>
      <c r="G9" s="13">
        <v>8622</v>
      </c>
      <c r="H9" s="13">
        <v>8835</v>
      </c>
      <c r="I9" s="13">
        <v>8852</v>
      </c>
      <c r="J9" s="13">
        <v>7100</v>
      </c>
      <c r="K9" s="13">
        <v>7841</v>
      </c>
      <c r="L9" s="13">
        <v>8258</v>
      </c>
      <c r="M9" s="13">
        <v>8731</v>
      </c>
      <c r="N9" s="13">
        <v>7951</v>
      </c>
      <c r="O9" s="13">
        <v>9093</v>
      </c>
      <c r="P9" s="13">
        <v>9189</v>
      </c>
      <c r="Q9" s="13">
        <v>9238</v>
      </c>
      <c r="R9" s="13">
        <v>8925</v>
      </c>
      <c r="S9" s="13">
        <v>9123</v>
      </c>
      <c r="T9" s="13">
        <v>7133</v>
      </c>
      <c r="U9" s="13">
        <v>8303</v>
      </c>
      <c r="V9" s="13">
        <v>7906</v>
      </c>
      <c r="W9" s="13">
        <v>8617</v>
      </c>
      <c r="X9" s="13">
        <v>8446</v>
      </c>
      <c r="Y9" s="13">
        <v>7415</v>
      </c>
      <c r="Z9" s="13">
        <v>8367</v>
      </c>
      <c r="AA9" s="13">
        <v>8783</v>
      </c>
      <c r="AB9" s="13">
        <v>0</v>
      </c>
      <c r="AC9" s="13">
        <v>0</v>
      </c>
      <c r="AD9" s="13">
        <v>0</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v>0</v>
      </c>
      <c r="AW9" s="13">
        <v>0</v>
      </c>
      <c r="AX9" s="13">
        <v>0</v>
      </c>
      <c r="AY9" s="13">
        <v>0</v>
      </c>
      <c r="AZ9" s="13">
        <v>0</v>
      </c>
      <c r="BA9" s="13">
        <v>0</v>
      </c>
    </row>
    <row r="10" spans="1:53" s="47" customFormat="1" x14ac:dyDescent="0.2">
      <c r="A10" s="77" t="s">
        <v>165</v>
      </c>
      <c r="B10" s="75">
        <v>14756</v>
      </c>
      <c r="C10" s="75">
        <v>15520</v>
      </c>
      <c r="D10" s="75">
        <v>13458</v>
      </c>
      <c r="E10" s="75">
        <v>14442</v>
      </c>
      <c r="F10" s="75">
        <v>15572</v>
      </c>
      <c r="G10" s="75">
        <v>16483</v>
      </c>
      <c r="H10" s="75">
        <v>15194</v>
      </c>
      <c r="I10" s="75">
        <v>15850</v>
      </c>
      <c r="J10" s="75">
        <v>16931</v>
      </c>
      <c r="K10" s="75">
        <v>14745</v>
      </c>
      <c r="L10" s="75">
        <v>15621</v>
      </c>
      <c r="M10" s="75">
        <v>15634</v>
      </c>
      <c r="N10" s="75">
        <v>14791</v>
      </c>
      <c r="O10" s="75">
        <v>16250</v>
      </c>
      <c r="P10" s="75">
        <v>15251</v>
      </c>
      <c r="Q10" s="75">
        <v>16365</v>
      </c>
      <c r="R10" s="75">
        <v>16296</v>
      </c>
      <c r="S10" s="75">
        <v>15943</v>
      </c>
      <c r="T10" s="75">
        <v>15887</v>
      </c>
      <c r="U10" s="75">
        <v>15580</v>
      </c>
      <c r="V10" s="75">
        <v>12827</v>
      </c>
      <c r="W10" s="75">
        <v>13289</v>
      </c>
      <c r="X10" s="75">
        <v>14050</v>
      </c>
      <c r="Y10" s="75">
        <v>13440</v>
      </c>
      <c r="Z10" s="75">
        <v>14442</v>
      </c>
      <c r="AA10" s="75">
        <v>13531</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c r="BA10" s="75">
        <v>0</v>
      </c>
    </row>
    <row r="11" spans="1:53" s="47" customFormat="1" x14ac:dyDescent="0.2">
      <c r="A11" s="76" t="s">
        <v>167</v>
      </c>
      <c r="B11" s="13">
        <v>43280</v>
      </c>
      <c r="C11" s="13">
        <v>42014</v>
      </c>
      <c r="D11" s="13">
        <v>40266</v>
      </c>
      <c r="E11" s="13">
        <v>34698</v>
      </c>
      <c r="F11" s="13">
        <v>43000</v>
      </c>
      <c r="G11" s="13">
        <v>43937</v>
      </c>
      <c r="H11" s="13">
        <v>40227</v>
      </c>
      <c r="I11" s="13">
        <v>43838</v>
      </c>
      <c r="J11" s="13">
        <v>42861</v>
      </c>
      <c r="K11" s="13">
        <v>42120</v>
      </c>
      <c r="L11" s="13">
        <v>44739</v>
      </c>
      <c r="M11" s="13">
        <v>43402</v>
      </c>
      <c r="N11" s="13">
        <v>42251</v>
      </c>
      <c r="O11" s="13">
        <v>43689</v>
      </c>
      <c r="P11" s="13">
        <v>42117</v>
      </c>
      <c r="Q11" s="13">
        <v>43288</v>
      </c>
      <c r="R11" s="13">
        <v>46436</v>
      </c>
      <c r="S11" s="13">
        <v>44495</v>
      </c>
      <c r="T11" s="13">
        <v>46753</v>
      </c>
      <c r="U11" s="13">
        <v>43523</v>
      </c>
      <c r="V11" s="13">
        <v>45777</v>
      </c>
      <c r="W11" s="13">
        <v>43169</v>
      </c>
      <c r="X11" s="13">
        <v>44538</v>
      </c>
      <c r="Y11" s="13">
        <v>44564</v>
      </c>
      <c r="Z11" s="13">
        <v>44003</v>
      </c>
      <c r="AA11" s="13">
        <v>42273</v>
      </c>
      <c r="AB11" s="13">
        <v>0</v>
      </c>
      <c r="AC11" s="13">
        <v>0</v>
      </c>
      <c r="AD11" s="13">
        <v>0</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v>0</v>
      </c>
      <c r="AW11" s="13">
        <v>0</v>
      </c>
      <c r="AX11" s="13">
        <v>0</v>
      </c>
      <c r="AY11" s="13">
        <v>0</v>
      </c>
      <c r="AZ11" s="13">
        <v>0</v>
      </c>
      <c r="BA11" s="13">
        <v>0</v>
      </c>
    </row>
    <row r="12" spans="1:53" s="47" customFormat="1" ht="13.5" thickBot="1" x14ac:dyDescent="0.25">
      <c r="A12" s="78" t="s">
        <v>174</v>
      </c>
      <c r="B12" s="23">
        <v>103547</v>
      </c>
      <c r="C12" s="23">
        <v>105436</v>
      </c>
      <c r="D12" s="23">
        <v>100093</v>
      </c>
      <c r="E12" s="23">
        <v>92960</v>
      </c>
      <c r="F12" s="23">
        <v>104927</v>
      </c>
      <c r="G12" s="23">
        <v>109758</v>
      </c>
      <c r="H12" s="23">
        <v>103241</v>
      </c>
      <c r="I12" s="23">
        <v>108879</v>
      </c>
      <c r="J12" s="23">
        <v>106199</v>
      </c>
      <c r="K12" s="23">
        <v>104668</v>
      </c>
      <c r="L12" s="23">
        <v>108185</v>
      </c>
      <c r="M12" s="23">
        <v>109787</v>
      </c>
      <c r="N12" s="23">
        <v>104093</v>
      </c>
      <c r="O12" s="23">
        <v>109633</v>
      </c>
      <c r="P12" s="23">
        <v>106656</v>
      </c>
      <c r="Q12" s="23">
        <v>108810</v>
      </c>
      <c r="R12" s="23">
        <v>112689</v>
      </c>
      <c r="S12" s="23">
        <v>108684</v>
      </c>
      <c r="T12" s="23">
        <v>112292</v>
      </c>
      <c r="U12" s="23">
        <v>109018</v>
      </c>
      <c r="V12" s="23">
        <v>108170</v>
      </c>
      <c r="W12" s="23">
        <v>106667</v>
      </c>
      <c r="X12" s="23">
        <v>107667</v>
      </c>
      <c r="Y12" s="23">
        <v>104794</v>
      </c>
      <c r="Z12" s="23">
        <v>105942</v>
      </c>
      <c r="AA12" s="23">
        <v>103643</v>
      </c>
      <c r="AB12" s="23">
        <v>0</v>
      </c>
      <c r="AC12" s="23">
        <v>0</v>
      </c>
      <c r="AD12" s="23">
        <v>0</v>
      </c>
      <c r="AE12" s="23">
        <v>0</v>
      </c>
      <c r="AF12" s="23">
        <v>0</v>
      </c>
      <c r="AG12" s="23">
        <v>0</v>
      </c>
      <c r="AH12" s="23">
        <v>0</v>
      </c>
      <c r="AI12" s="23">
        <v>0</v>
      </c>
      <c r="AJ12" s="23">
        <v>0</v>
      </c>
      <c r="AK12" s="23">
        <v>0</v>
      </c>
      <c r="AL12" s="23">
        <v>0</v>
      </c>
      <c r="AM12" s="23">
        <v>0</v>
      </c>
      <c r="AN12" s="23">
        <v>0</v>
      </c>
      <c r="AO12" s="23">
        <v>0</v>
      </c>
      <c r="AP12" s="23">
        <v>0</v>
      </c>
      <c r="AQ12" s="23">
        <v>0</v>
      </c>
      <c r="AR12" s="23">
        <v>0</v>
      </c>
      <c r="AS12" s="23">
        <v>0</v>
      </c>
      <c r="AT12" s="23">
        <v>0</v>
      </c>
      <c r="AU12" s="23">
        <v>0</v>
      </c>
      <c r="AV12" s="23">
        <v>0</v>
      </c>
      <c r="AW12" s="23">
        <v>0</v>
      </c>
      <c r="AX12" s="23">
        <v>0</v>
      </c>
      <c r="AY12" s="23">
        <v>0</v>
      </c>
      <c r="AZ12" s="23">
        <v>0</v>
      </c>
      <c r="BA12" s="23">
        <v>0</v>
      </c>
    </row>
    <row r="13" spans="1:53" s="47" customFormat="1" ht="13.5" thickTop="1" x14ac:dyDescent="0.2">
      <c r="A13" s="76"/>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row>
    <row r="14" spans="1:53" s="47" customFormat="1" x14ac:dyDescent="0.2">
      <c r="A14" s="73" t="s">
        <v>175</v>
      </c>
    </row>
    <row r="15" spans="1:53" s="47" customFormat="1" x14ac:dyDescent="0.2">
      <c r="A15" s="74" t="s">
        <v>155</v>
      </c>
      <c r="B15" s="75">
        <v>388.70412599999997</v>
      </c>
      <c r="C15" s="75">
        <v>383.76248500000003</v>
      </c>
      <c r="D15" s="75">
        <v>386.49926799999997</v>
      </c>
      <c r="E15" s="75">
        <v>382.13303000000002</v>
      </c>
      <c r="F15" s="75">
        <v>386.362211</v>
      </c>
      <c r="G15" s="75">
        <v>382.02260799999999</v>
      </c>
      <c r="H15" s="75">
        <v>371.28914700000001</v>
      </c>
      <c r="I15" s="75">
        <v>405.021143</v>
      </c>
      <c r="J15" s="75">
        <v>384.95488</v>
      </c>
      <c r="K15" s="75">
        <v>391.85967499999998</v>
      </c>
      <c r="L15" s="75">
        <v>386.12236899999999</v>
      </c>
      <c r="M15" s="75">
        <v>396.28687500000001</v>
      </c>
      <c r="N15" s="75">
        <v>400.036767</v>
      </c>
      <c r="O15" s="75">
        <v>417.13103799999999</v>
      </c>
      <c r="P15" s="75">
        <v>430.58045099999998</v>
      </c>
      <c r="Q15" s="75">
        <v>412.455288</v>
      </c>
      <c r="R15" s="75">
        <v>379.49003800000003</v>
      </c>
      <c r="S15" s="75">
        <v>365</v>
      </c>
      <c r="T15" s="75">
        <v>417</v>
      </c>
      <c r="U15" s="75">
        <v>404.733608</v>
      </c>
      <c r="V15" s="75">
        <v>427.00526600000001</v>
      </c>
      <c r="W15" s="75">
        <v>396.404338</v>
      </c>
      <c r="X15" s="75">
        <v>402.275846</v>
      </c>
      <c r="Y15" s="75">
        <v>392.95411000000001</v>
      </c>
      <c r="Z15" s="75">
        <v>401.15714300000002</v>
      </c>
      <c r="AA15" s="75">
        <v>354.352891</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c r="BA15" s="75">
        <v>0</v>
      </c>
    </row>
    <row r="16" spans="1:53" s="47" customFormat="1" x14ac:dyDescent="0.2">
      <c r="A16" s="76" t="s">
        <v>157</v>
      </c>
      <c r="B16" s="75">
        <v>1032.203064</v>
      </c>
      <c r="C16" s="13">
        <v>1011.888087</v>
      </c>
      <c r="D16" s="13">
        <v>960.87904500000002</v>
      </c>
      <c r="E16" s="13">
        <v>936.06644700000004</v>
      </c>
      <c r="F16" s="13">
        <v>1052.6093739999999</v>
      </c>
      <c r="G16" s="13">
        <v>1018.957361</v>
      </c>
      <c r="H16" s="13">
        <v>1012.553818</v>
      </c>
      <c r="I16" s="13">
        <v>1018.693573</v>
      </c>
      <c r="J16" s="13">
        <v>951.76508799999999</v>
      </c>
      <c r="K16" s="13">
        <v>970.056918</v>
      </c>
      <c r="L16" s="13">
        <v>982.48801700000001</v>
      </c>
      <c r="M16" s="13">
        <v>969.03258300000005</v>
      </c>
      <c r="N16" s="13">
        <v>1029.172157</v>
      </c>
      <c r="O16" s="13">
        <v>863.99974899999995</v>
      </c>
      <c r="P16" s="13">
        <v>976.08815100000004</v>
      </c>
      <c r="Q16" s="13">
        <v>931.26181399999996</v>
      </c>
      <c r="R16" s="13">
        <v>922.18693499999995</v>
      </c>
      <c r="S16" s="13">
        <v>929</v>
      </c>
      <c r="T16" s="13">
        <v>887</v>
      </c>
      <c r="U16" s="13">
        <v>936.04434400000002</v>
      </c>
      <c r="V16" s="13">
        <v>869.53967699999998</v>
      </c>
      <c r="W16" s="13">
        <v>863.73985700000003</v>
      </c>
      <c r="X16" s="13">
        <v>949.10426500000005</v>
      </c>
      <c r="Y16" s="13">
        <v>842.82800299999997</v>
      </c>
      <c r="Z16" s="13">
        <v>913.66398300000003</v>
      </c>
      <c r="AA16" s="13">
        <v>884.75039600000002</v>
      </c>
      <c r="AB16" s="13">
        <v>0</v>
      </c>
      <c r="AC16" s="13">
        <v>0</v>
      </c>
      <c r="AD16" s="13">
        <v>0</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v>0</v>
      </c>
      <c r="AW16" s="13">
        <v>0</v>
      </c>
      <c r="AX16" s="13">
        <v>0</v>
      </c>
      <c r="AY16" s="13">
        <v>0</v>
      </c>
      <c r="AZ16" s="13">
        <v>0</v>
      </c>
      <c r="BA16" s="13">
        <v>0</v>
      </c>
    </row>
    <row r="17" spans="1:53" s="47" customFormat="1" x14ac:dyDescent="0.2">
      <c r="A17" s="76" t="s">
        <v>159</v>
      </c>
      <c r="B17" s="75">
        <v>356.10173099999997</v>
      </c>
      <c r="C17" s="13">
        <v>530.65162899999996</v>
      </c>
      <c r="D17" s="13">
        <v>515.41755999999998</v>
      </c>
      <c r="E17" s="13">
        <v>380.35467</v>
      </c>
      <c r="F17" s="13">
        <v>504.20437700000002</v>
      </c>
      <c r="G17" s="13">
        <v>507.478836</v>
      </c>
      <c r="H17" s="13">
        <v>486.07844699999998</v>
      </c>
      <c r="I17" s="13">
        <v>499.59209299999998</v>
      </c>
      <c r="J17" s="13">
        <v>443.82632699999999</v>
      </c>
      <c r="K17" s="13">
        <v>479.30672700000002</v>
      </c>
      <c r="L17" s="13">
        <v>526.40630799999997</v>
      </c>
      <c r="M17" s="13">
        <v>559.42762300000004</v>
      </c>
      <c r="N17" s="13">
        <v>517.77196600000002</v>
      </c>
      <c r="O17" s="13">
        <v>544.21742099999994</v>
      </c>
      <c r="P17" s="13">
        <v>577.129637</v>
      </c>
      <c r="Q17" s="13">
        <v>458.789535</v>
      </c>
      <c r="R17" s="13">
        <v>498.93784799999997</v>
      </c>
      <c r="S17" s="13">
        <v>566</v>
      </c>
      <c r="T17" s="13">
        <v>550</v>
      </c>
      <c r="U17" s="13">
        <v>606.31576900000005</v>
      </c>
      <c r="V17" s="13">
        <v>607.86175500000002</v>
      </c>
      <c r="W17" s="13">
        <v>469.672755</v>
      </c>
      <c r="X17" s="13">
        <v>517.09368600000005</v>
      </c>
      <c r="Y17" s="13">
        <v>535.05090499999994</v>
      </c>
      <c r="Z17" s="13">
        <v>515.851992</v>
      </c>
      <c r="AA17" s="13">
        <v>558.33369200000004</v>
      </c>
      <c r="AB17" s="13">
        <v>0</v>
      </c>
      <c r="AC17" s="13">
        <v>0</v>
      </c>
      <c r="AD17" s="13">
        <v>0</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v>0</v>
      </c>
      <c r="AW17" s="13">
        <v>0</v>
      </c>
      <c r="AX17" s="13">
        <v>0</v>
      </c>
      <c r="AY17" s="13">
        <v>0</v>
      </c>
      <c r="AZ17" s="13">
        <v>0</v>
      </c>
      <c r="BA17" s="13">
        <v>0</v>
      </c>
    </row>
    <row r="18" spans="1:53" s="47" customFormat="1" x14ac:dyDescent="0.2">
      <c r="A18" s="76" t="s">
        <v>161</v>
      </c>
      <c r="B18" s="75">
        <v>44.203099999999999</v>
      </c>
      <c r="C18" s="13">
        <v>45.421923999999997</v>
      </c>
      <c r="D18" s="13">
        <v>54.568627999999997</v>
      </c>
      <c r="E18" s="13">
        <v>43.988781000000003</v>
      </c>
      <c r="F18" s="13">
        <v>63.280605000000001</v>
      </c>
      <c r="G18" s="13">
        <v>59.221989000000001</v>
      </c>
      <c r="H18" s="13">
        <v>60.201942000000003</v>
      </c>
      <c r="I18" s="13">
        <v>67.619320000000002</v>
      </c>
      <c r="J18" s="13">
        <v>75.309954000000005</v>
      </c>
      <c r="K18" s="13">
        <v>72.667390999999995</v>
      </c>
      <c r="L18" s="13">
        <v>68.587492999999995</v>
      </c>
      <c r="M18" s="13">
        <v>68.527716999999996</v>
      </c>
      <c r="N18" s="13">
        <v>76.133465000000001</v>
      </c>
      <c r="O18" s="13">
        <v>61.322726000000003</v>
      </c>
      <c r="P18" s="13">
        <v>64.083590999999998</v>
      </c>
      <c r="Q18" s="13">
        <v>82.931458000000006</v>
      </c>
      <c r="R18" s="13">
        <v>66.005471999999997</v>
      </c>
      <c r="S18" s="13">
        <v>67</v>
      </c>
      <c r="T18" s="13">
        <v>70</v>
      </c>
      <c r="U18" s="13">
        <v>68.591911999999994</v>
      </c>
      <c r="V18" s="13">
        <v>83.469060999999996</v>
      </c>
      <c r="W18" s="13">
        <v>79.376835</v>
      </c>
      <c r="X18" s="13">
        <v>73.072874999999996</v>
      </c>
      <c r="Y18" s="13">
        <v>73.976718000000005</v>
      </c>
      <c r="Z18" s="13">
        <v>75.096569000000002</v>
      </c>
      <c r="AA18" s="13">
        <v>78.097307000000001</v>
      </c>
      <c r="AB18" s="13">
        <v>0</v>
      </c>
      <c r="AC18" s="13">
        <v>0</v>
      </c>
      <c r="AD18" s="13">
        <v>0</v>
      </c>
      <c r="AE18" s="13">
        <v>0</v>
      </c>
      <c r="AF18" s="13">
        <v>0</v>
      </c>
      <c r="AG18" s="13">
        <v>0</v>
      </c>
      <c r="AH18" s="13">
        <v>0</v>
      </c>
      <c r="AI18" s="13">
        <v>0</v>
      </c>
      <c r="AJ18" s="13">
        <v>0</v>
      </c>
      <c r="AK18" s="13">
        <v>0</v>
      </c>
      <c r="AL18" s="13">
        <v>0</v>
      </c>
      <c r="AM18" s="13">
        <v>0</v>
      </c>
      <c r="AN18" s="13">
        <v>0</v>
      </c>
      <c r="AO18" s="13">
        <v>0</v>
      </c>
      <c r="AP18" s="13">
        <v>0</v>
      </c>
      <c r="AQ18" s="13">
        <v>0</v>
      </c>
      <c r="AR18" s="13">
        <v>0</v>
      </c>
      <c r="AS18" s="13">
        <v>0</v>
      </c>
      <c r="AT18" s="13">
        <v>0</v>
      </c>
      <c r="AU18" s="13">
        <v>0</v>
      </c>
      <c r="AV18" s="13">
        <v>0</v>
      </c>
      <c r="AW18" s="13">
        <v>0</v>
      </c>
      <c r="AX18" s="13">
        <v>0</v>
      </c>
      <c r="AY18" s="13">
        <v>0</v>
      </c>
      <c r="AZ18" s="13">
        <v>0</v>
      </c>
      <c r="BA18" s="13">
        <v>0</v>
      </c>
    </row>
    <row r="19" spans="1:53" s="47" customFormat="1" x14ac:dyDescent="0.2">
      <c r="A19" s="76" t="s">
        <v>163</v>
      </c>
      <c r="B19" s="75">
        <v>344.43123800000001</v>
      </c>
      <c r="C19" s="13">
        <v>429.35343599999999</v>
      </c>
      <c r="D19" s="13">
        <v>407.28196000000003</v>
      </c>
      <c r="E19" s="13">
        <v>397.166811</v>
      </c>
      <c r="F19" s="13">
        <v>366.29469999999998</v>
      </c>
      <c r="G19" s="13">
        <v>393.36989399999999</v>
      </c>
      <c r="H19" s="13">
        <v>368.01071200000001</v>
      </c>
      <c r="I19" s="13">
        <v>392.54027500000001</v>
      </c>
      <c r="J19" s="13">
        <v>323.232304</v>
      </c>
      <c r="K19" s="13">
        <v>338.66752700000001</v>
      </c>
      <c r="L19" s="13">
        <v>373.49613799999997</v>
      </c>
      <c r="M19" s="13">
        <v>389.76683700000001</v>
      </c>
      <c r="N19" s="13">
        <v>369.44065999999998</v>
      </c>
      <c r="O19" s="13">
        <v>393.85488600000002</v>
      </c>
      <c r="P19" s="13">
        <v>421.35368099999999</v>
      </c>
      <c r="Q19" s="13">
        <v>415.03794799999997</v>
      </c>
      <c r="R19" s="13">
        <v>399.273101</v>
      </c>
      <c r="S19" s="13">
        <v>392</v>
      </c>
      <c r="T19" s="13">
        <v>342</v>
      </c>
      <c r="U19" s="13">
        <v>438.65115400000002</v>
      </c>
      <c r="V19" s="13">
        <v>362.445267</v>
      </c>
      <c r="W19" s="13">
        <v>384.162936</v>
      </c>
      <c r="X19" s="13">
        <v>417.23643099999998</v>
      </c>
      <c r="Y19" s="13">
        <v>350.24340599999999</v>
      </c>
      <c r="Z19" s="13">
        <v>396.20863600000001</v>
      </c>
      <c r="AA19" s="13">
        <v>424.62182899999999</v>
      </c>
      <c r="AB19" s="13">
        <v>0</v>
      </c>
      <c r="AC19" s="13">
        <v>0</v>
      </c>
      <c r="AD19" s="13">
        <v>0</v>
      </c>
      <c r="AE19" s="13">
        <v>0</v>
      </c>
      <c r="AF19" s="13">
        <v>0</v>
      </c>
      <c r="AG19" s="13">
        <v>0</v>
      </c>
      <c r="AH19" s="13">
        <v>0</v>
      </c>
      <c r="AI19" s="13">
        <v>0</v>
      </c>
      <c r="AJ19" s="13">
        <v>0</v>
      </c>
      <c r="AK19" s="13">
        <v>0</v>
      </c>
      <c r="AL19" s="13">
        <v>0</v>
      </c>
      <c r="AM19" s="13">
        <v>0</v>
      </c>
      <c r="AN19" s="13">
        <v>0</v>
      </c>
      <c r="AO19" s="13">
        <v>0</v>
      </c>
      <c r="AP19" s="13">
        <v>0</v>
      </c>
      <c r="AQ19" s="13">
        <v>0</v>
      </c>
      <c r="AR19" s="13">
        <v>0</v>
      </c>
      <c r="AS19" s="13">
        <v>0</v>
      </c>
      <c r="AT19" s="13">
        <v>0</v>
      </c>
      <c r="AU19" s="13">
        <v>0</v>
      </c>
      <c r="AV19" s="13">
        <v>0</v>
      </c>
      <c r="AW19" s="13">
        <v>0</v>
      </c>
      <c r="AX19" s="13">
        <v>0</v>
      </c>
      <c r="AY19" s="13">
        <v>0</v>
      </c>
      <c r="AZ19" s="13">
        <v>0</v>
      </c>
      <c r="BA19" s="13">
        <v>0</v>
      </c>
    </row>
    <row r="20" spans="1:53" s="47" customFormat="1" x14ac:dyDescent="0.2">
      <c r="A20" s="77" t="s">
        <v>165</v>
      </c>
      <c r="B20" s="75">
        <v>1450.041273</v>
      </c>
      <c r="C20" s="75">
        <v>1541.577624</v>
      </c>
      <c r="D20" s="75">
        <v>1335.959996</v>
      </c>
      <c r="E20" s="75">
        <v>1521.0615049999999</v>
      </c>
      <c r="F20" s="75">
        <v>1567.4303729999999</v>
      </c>
      <c r="G20" s="75">
        <v>1675.8528699999999</v>
      </c>
      <c r="H20" s="75">
        <v>1563.8811720000001</v>
      </c>
      <c r="I20" s="75">
        <v>1582.823864</v>
      </c>
      <c r="J20" s="75">
        <v>1668.173646</v>
      </c>
      <c r="K20" s="75">
        <v>1505.6823690000001</v>
      </c>
      <c r="L20" s="75">
        <v>1553.0699729999999</v>
      </c>
      <c r="M20" s="75">
        <v>1470.6968959999999</v>
      </c>
      <c r="N20" s="75">
        <v>1340.202221</v>
      </c>
      <c r="O20" s="75">
        <v>1560.0415579999999</v>
      </c>
      <c r="P20" s="75">
        <v>1443.976134</v>
      </c>
      <c r="Q20" s="75">
        <v>1627.133194</v>
      </c>
      <c r="R20" s="75">
        <v>1525.487261</v>
      </c>
      <c r="S20" s="75">
        <v>1541</v>
      </c>
      <c r="T20" s="75">
        <v>1466</v>
      </c>
      <c r="U20" s="75">
        <v>1472.4684930000001</v>
      </c>
      <c r="V20" s="75">
        <v>1212.753209</v>
      </c>
      <c r="W20" s="75">
        <v>1206.0341089999999</v>
      </c>
      <c r="X20" s="75">
        <v>1339.2915190000001</v>
      </c>
      <c r="Y20" s="75">
        <v>1326.6427819999999</v>
      </c>
      <c r="Z20" s="75">
        <v>1393.232626</v>
      </c>
      <c r="AA20" s="75">
        <v>1270.265365</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c r="BA20" s="75">
        <v>0</v>
      </c>
    </row>
    <row r="21" spans="1:53" s="47" customFormat="1" x14ac:dyDescent="0.2">
      <c r="A21" s="76" t="s">
        <v>167</v>
      </c>
      <c r="B21" s="75">
        <v>1054.386516</v>
      </c>
      <c r="C21" s="13">
        <v>1034.4166070000001</v>
      </c>
      <c r="D21" s="13">
        <v>938.61429899999996</v>
      </c>
      <c r="E21" s="13">
        <v>866.12224700000002</v>
      </c>
      <c r="F21" s="13">
        <v>1106.962526</v>
      </c>
      <c r="G21" s="13">
        <v>1099.665972</v>
      </c>
      <c r="H21" s="13">
        <v>997.91473699999995</v>
      </c>
      <c r="I21" s="13">
        <v>1090.154266</v>
      </c>
      <c r="J21" s="13">
        <v>1036.3911169999999</v>
      </c>
      <c r="K21" s="13">
        <v>965.94278199999997</v>
      </c>
      <c r="L21" s="13">
        <v>1106.792203</v>
      </c>
      <c r="M21" s="13">
        <v>1064.1164160000001</v>
      </c>
      <c r="N21" s="13">
        <v>1032.967713</v>
      </c>
      <c r="O21" s="13">
        <v>1017.939565</v>
      </c>
      <c r="P21" s="13">
        <v>1041.048528</v>
      </c>
      <c r="Q21" s="13">
        <v>1066.385262</v>
      </c>
      <c r="R21" s="13">
        <v>1133.5008929999999</v>
      </c>
      <c r="S21" s="13">
        <v>1060</v>
      </c>
      <c r="T21" s="13">
        <v>1127</v>
      </c>
      <c r="U21" s="13">
        <v>1007.63572</v>
      </c>
      <c r="V21" s="13">
        <v>1105.9051300000001</v>
      </c>
      <c r="W21" s="13">
        <v>1014.920254</v>
      </c>
      <c r="X21" s="13">
        <v>1095.2679270000001</v>
      </c>
      <c r="Y21" s="13">
        <v>1029.33566</v>
      </c>
      <c r="Z21" s="13">
        <v>1019.882681</v>
      </c>
      <c r="AA21" s="13">
        <v>1014.775532</v>
      </c>
      <c r="AB21" s="13">
        <v>0</v>
      </c>
      <c r="AC21" s="13">
        <v>0</v>
      </c>
      <c r="AD21" s="13">
        <v>0</v>
      </c>
      <c r="AE21" s="13">
        <v>0</v>
      </c>
      <c r="AF21" s="13">
        <v>0</v>
      </c>
      <c r="AG21" s="13">
        <v>0</v>
      </c>
      <c r="AH21" s="13">
        <v>0</v>
      </c>
      <c r="AI21" s="13">
        <v>0</v>
      </c>
      <c r="AJ21" s="13">
        <v>0</v>
      </c>
      <c r="AK21" s="13">
        <v>0</v>
      </c>
      <c r="AL21" s="13">
        <v>0</v>
      </c>
      <c r="AM21" s="13">
        <v>0</v>
      </c>
      <c r="AN21" s="13">
        <v>0</v>
      </c>
      <c r="AO21" s="13">
        <v>0</v>
      </c>
      <c r="AP21" s="13">
        <v>0</v>
      </c>
      <c r="AQ21" s="13">
        <v>0</v>
      </c>
      <c r="AR21" s="13">
        <v>0</v>
      </c>
      <c r="AS21" s="13">
        <v>0</v>
      </c>
      <c r="AT21" s="13">
        <v>0</v>
      </c>
      <c r="AU21" s="13">
        <v>0</v>
      </c>
      <c r="AV21" s="13">
        <v>0</v>
      </c>
      <c r="AW21" s="13">
        <v>0</v>
      </c>
      <c r="AX21" s="13">
        <v>0</v>
      </c>
      <c r="AY21" s="13">
        <v>0</v>
      </c>
      <c r="AZ21" s="13">
        <v>0</v>
      </c>
      <c r="BA21" s="13">
        <v>0</v>
      </c>
    </row>
    <row r="22" spans="1:53" s="47" customFormat="1" ht="13.5" thickBot="1" x14ac:dyDescent="0.25">
      <c r="A22" s="78" t="s">
        <v>176</v>
      </c>
      <c r="B22" s="23">
        <v>4670.0710479999998</v>
      </c>
      <c r="C22" s="23">
        <v>4977.0717920000006</v>
      </c>
      <c r="D22" s="23">
        <v>4599.2207560000006</v>
      </c>
      <c r="E22" s="23">
        <v>4526.8934909999998</v>
      </c>
      <c r="F22" s="23">
        <v>5047.144166</v>
      </c>
      <c r="G22" s="23">
        <v>5136.5695299999998</v>
      </c>
      <c r="H22" s="23">
        <v>4859.929975</v>
      </c>
      <c r="I22" s="23">
        <v>5056.4445340000002</v>
      </c>
      <c r="J22" s="23">
        <v>4883.6533159999999</v>
      </c>
      <c r="K22" s="23">
        <v>4724.1833889999998</v>
      </c>
      <c r="L22" s="23">
        <v>4996.962501</v>
      </c>
      <c r="M22" s="23">
        <v>4917.8549469999998</v>
      </c>
      <c r="N22" s="23">
        <v>4765.7249489999995</v>
      </c>
      <c r="O22" s="23">
        <v>4858.5069429999994</v>
      </c>
      <c r="P22" s="23">
        <v>4954.2601729999997</v>
      </c>
      <c r="Q22" s="23">
        <v>4993.9944990000004</v>
      </c>
      <c r="R22" s="23">
        <v>4924.8815479999994</v>
      </c>
      <c r="S22" s="23">
        <v>4920</v>
      </c>
      <c r="T22" s="23">
        <v>4859</v>
      </c>
      <c r="U22" s="23">
        <v>4934.4410000000007</v>
      </c>
      <c r="V22" s="23">
        <v>4668.9793649999992</v>
      </c>
      <c r="W22" s="23">
        <v>4414.3110839999999</v>
      </c>
      <c r="X22" s="23">
        <v>4793.342549</v>
      </c>
      <c r="Y22" s="23">
        <v>4551.0315839999994</v>
      </c>
      <c r="Z22" s="23">
        <v>4715.0936300000003</v>
      </c>
      <c r="AA22" s="23">
        <v>4585.1970119999996</v>
      </c>
      <c r="AB22" s="23">
        <v>0</v>
      </c>
      <c r="AC22" s="23">
        <v>0</v>
      </c>
      <c r="AD22" s="23">
        <v>0</v>
      </c>
      <c r="AE22" s="23">
        <v>0</v>
      </c>
      <c r="AF22" s="23">
        <v>0</v>
      </c>
      <c r="AG22" s="23">
        <v>0</v>
      </c>
      <c r="AH22" s="23">
        <v>0</v>
      </c>
      <c r="AI22" s="23">
        <v>0</v>
      </c>
      <c r="AJ22" s="23">
        <v>0</v>
      </c>
      <c r="AK22" s="23">
        <v>0</v>
      </c>
      <c r="AL22" s="23">
        <v>0</v>
      </c>
      <c r="AM22" s="23">
        <v>0</v>
      </c>
      <c r="AN22" s="23">
        <v>0</v>
      </c>
      <c r="AO22" s="23">
        <v>0</v>
      </c>
      <c r="AP22" s="23">
        <v>0</v>
      </c>
      <c r="AQ22" s="23">
        <v>0</v>
      </c>
      <c r="AR22" s="23">
        <v>0</v>
      </c>
      <c r="AS22" s="23">
        <v>0</v>
      </c>
      <c r="AT22" s="23">
        <v>0</v>
      </c>
      <c r="AU22" s="23">
        <v>0</v>
      </c>
      <c r="AV22" s="23">
        <v>0</v>
      </c>
      <c r="AW22" s="23">
        <v>0</v>
      </c>
      <c r="AX22" s="23">
        <v>0</v>
      </c>
      <c r="AY22" s="23">
        <v>0</v>
      </c>
      <c r="AZ22" s="23">
        <v>0</v>
      </c>
      <c r="BA22" s="23">
        <v>0</v>
      </c>
    </row>
    <row r="23" spans="1:53" s="47" customFormat="1" ht="13.5" thickTop="1" x14ac:dyDescent="0.2"/>
    <row r="24" spans="1:53" s="47" customFormat="1" x14ac:dyDescent="0.2"/>
    <row r="25" spans="1:53" s="47" customFormat="1" x14ac:dyDescent="0.2">
      <c r="B25" s="131"/>
      <c r="C25" s="131"/>
      <c r="D25" s="131"/>
      <c r="E25" s="131"/>
      <c r="F25" s="131"/>
      <c r="G25" s="131"/>
      <c r="H25" s="131"/>
      <c r="I25" s="131"/>
      <c r="J25" s="131"/>
      <c r="K25" s="131"/>
      <c r="L25" s="131"/>
      <c r="M25" s="131"/>
      <c r="N25" s="131"/>
      <c r="O25" s="131"/>
      <c r="P25" s="131"/>
      <c r="Q25" s="131"/>
      <c r="R25" s="131"/>
      <c r="S25" s="131"/>
      <c r="T25" s="131"/>
      <c r="U25" s="131"/>
      <c r="V25" s="131"/>
      <c r="W25" s="131"/>
      <c r="X25" s="131"/>
      <c r="Y25" s="131"/>
      <c r="Z25" s="131"/>
      <c r="AA25" s="131"/>
      <c r="AB25" s="131"/>
      <c r="AC25" s="131"/>
      <c r="AD25" s="131"/>
      <c r="AE25" s="131"/>
      <c r="AF25" s="131"/>
      <c r="AG25" s="131"/>
      <c r="AH25" s="131"/>
      <c r="AI25" s="131"/>
      <c r="AJ25" s="131"/>
      <c r="AK25" s="131"/>
      <c r="AL25" s="131"/>
      <c r="AM25" s="131"/>
      <c r="AN25" s="131"/>
      <c r="AO25" s="131"/>
      <c r="AP25" s="131"/>
      <c r="AQ25" s="131"/>
      <c r="AR25" s="131"/>
      <c r="AS25" s="131"/>
      <c r="AT25" s="131"/>
      <c r="AU25" s="131"/>
      <c r="AV25" s="131"/>
      <c r="AW25" s="131"/>
      <c r="AX25" s="131"/>
      <c r="AY25" s="131"/>
      <c r="AZ25" s="131"/>
      <c r="BA25" s="131"/>
    </row>
    <row r="26" spans="1:53" s="47" customFormat="1" x14ac:dyDescent="0.2">
      <c r="B26" s="131"/>
      <c r="C26" s="131"/>
      <c r="D26" s="131"/>
      <c r="E26" s="131"/>
      <c r="F26" s="131"/>
      <c r="G26" s="131"/>
      <c r="H26" s="131"/>
      <c r="I26" s="131"/>
      <c r="J26" s="131"/>
      <c r="K26" s="131"/>
      <c r="L26" s="131"/>
      <c r="M26" s="131"/>
      <c r="N26" s="131"/>
      <c r="O26" s="131"/>
      <c r="P26" s="131"/>
      <c r="Q26" s="131"/>
      <c r="R26" s="131"/>
      <c r="S26" s="131"/>
      <c r="T26" s="131"/>
      <c r="U26" s="131"/>
      <c r="V26" s="131"/>
      <c r="W26" s="131"/>
      <c r="X26" s="131"/>
      <c r="Y26" s="131"/>
      <c r="Z26" s="131"/>
      <c r="AA26" s="131"/>
      <c r="AB26" s="131"/>
      <c r="AC26" s="131"/>
      <c r="AD26" s="131"/>
      <c r="AE26" s="131"/>
      <c r="AF26" s="131"/>
      <c r="AG26" s="131"/>
      <c r="AH26" s="131"/>
      <c r="AI26" s="131"/>
      <c r="AJ26" s="131"/>
      <c r="AK26" s="131"/>
      <c r="AL26" s="131"/>
      <c r="AM26" s="131"/>
      <c r="AN26" s="131"/>
      <c r="AO26" s="131"/>
      <c r="AP26" s="131"/>
      <c r="AQ26" s="131"/>
      <c r="AR26" s="131"/>
      <c r="AS26" s="131"/>
      <c r="AT26" s="131"/>
      <c r="AU26" s="131"/>
      <c r="AV26" s="131"/>
      <c r="AW26" s="131"/>
      <c r="AX26" s="131"/>
      <c r="AY26" s="131"/>
      <c r="AZ26" s="131"/>
      <c r="BA26" s="131"/>
    </row>
    <row r="27" spans="1:53" s="47" customFormat="1" x14ac:dyDescent="0.2"/>
    <row r="28" spans="1:53" s="47" customFormat="1" x14ac:dyDescent="0.2"/>
    <row r="29" spans="1:53" s="47" customFormat="1" x14ac:dyDescent="0.2"/>
    <row r="30" spans="1:53" s="47" customFormat="1" x14ac:dyDescent="0.2"/>
    <row r="31" spans="1:53" s="47" customFormat="1" x14ac:dyDescent="0.2"/>
    <row r="32" spans="1:53" s="47" customFormat="1" x14ac:dyDescent="0.2"/>
    <row r="33" s="47" customFormat="1" x14ac:dyDescent="0.2"/>
    <row r="34" s="47" customFormat="1" x14ac:dyDescent="0.2"/>
    <row r="35" s="47" customFormat="1" x14ac:dyDescent="0.2"/>
    <row r="36" s="47" customFormat="1" x14ac:dyDescent="0.2"/>
    <row r="37" s="47" customFormat="1" x14ac:dyDescent="0.2"/>
    <row r="38" s="47" customFormat="1" x14ac:dyDescent="0.2"/>
    <row r="39" s="47" customFormat="1" x14ac:dyDescent="0.2"/>
    <row r="40" s="47" customFormat="1" x14ac:dyDescent="0.2"/>
    <row r="41" s="47" customFormat="1" x14ac:dyDescent="0.2"/>
    <row r="42" s="47" customFormat="1" x14ac:dyDescent="0.2"/>
    <row r="43" s="47" customFormat="1" x14ac:dyDescent="0.2"/>
    <row r="44" s="47" customFormat="1" x14ac:dyDescent="0.2"/>
    <row r="45" s="47" customFormat="1" x14ac:dyDescent="0.2"/>
    <row r="46" s="47" customFormat="1" x14ac:dyDescent="0.2"/>
    <row r="47" s="47" customFormat="1" x14ac:dyDescent="0.2"/>
    <row r="48" s="47" customFormat="1" x14ac:dyDescent="0.2"/>
    <row r="49" s="47" customFormat="1" x14ac:dyDescent="0.2"/>
    <row r="50" s="47" customFormat="1" x14ac:dyDescent="0.2"/>
    <row r="51" s="47" customFormat="1" x14ac:dyDescent="0.2"/>
    <row r="52" s="47" customFormat="1" x14ac:dyDescent="0.2"/>
    <row r="53" s="47" customFormat="1" x14ac:dyDescent="0.2"/>
    <row r="54" s="47" customFormat="1" x14ac:dyDescent="0.2"/>
  </sheetData>
  <sheetProtection algorithmName="SHA-512" hashValue="xkhEYWUSr03/RViO/ZNHySfUZVFylnUhWXAkb6Hb24XscAjIhELm6zsMVjw5LgdzvYFXofswj8ApEekuHd2LPQ==" saltValue="wjKcuYcWexPKDw74+4j/xw==" spinCount="100000" sheet="1" objects="1" scenarios="1"/>
  <mergeCells count="1">
    <mergeCell ref="A1:BA1"/>
  </mergeCells>
  <pageMargins left="0.17" right="0.17" top="0.17" bottom="0.5" header="0.17" footer="0.5"/>
  <pageSetup scale="70" fitToWidth="0" fitToHeight="0" orientation="landscape" r:id="rId1"/>
  <headerFooter alignWithMargins="0"/>
  <colBreaks count="3" manualBreakCount="3">
    <brk id="14" max="48" man="1"/>
    <brk id="27" max="48" man="1"/>
    <brk id="40" max="48" man="1"/>
  </col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9A5C6-F653-4778-8F5B-5303E9A17574}">
  <sheetPr codeName="Sheet16">
    <tabColor rgb="FF92D050"/>
  </sheetPr>
  <dimension ref="A1:BB54"/>
  <sheetViews>
    <sheetView zoomScaleNormal="100" workbookViewId="0">
      <pane xSplit="1" ySplit="3" topLeftCell="L4" activePane="bottomRight" state="frozen"/>
      <selection activeCell="C22" sqref="C22"/>
      <selection pane="topRight" activeCell="C22" sqref="C22"/>
      <selection pane="bottomLeft" activeCell="C22" sqref="C22"/>
      <selection pane="bottomRight" activeCell="C22" sqref="C22"/>
    </sheetView>
  </sheetViews>
  <sheetFormatPr defaultColWidth="6.7109375" defaultRowHeight="12.75" x14ac:dyDescent="0.2"/>
  <cols>
    <col min="1" max="1" width="50.42578125" style="42" bestFit="1" customWidth="1"/>
    <col min="2" max="2" width="9.42578125" style="43" customWidth="1"/>
    <col min="3" max="53" width="9.42578125" style="42" customWidth="1"/>
    <col min="54" max="54" width="9.42578125" customWidth="1"/>
    <col min="55" max="16384" width="6.7109375" style="42"/>
  </cols>
  <sheetData>
    <row r="1" spans="1:54" ht="23.25" x14ac:dyDescent="0.35">
      <c r="A1" s="145" t="s">
        <v>222</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c r="AE1" s="145"/>
      <c r="AF1" s="145"/>
      <c r="AG1" s="145"/>
      <c r="AH1" s="145"/>
      <c r="AI1" s="145"/>
      <c r="AJ1" s="145"/>
      <c r="AK1" s="145"/>
      <c r="AL1" s="145"/>
      <c r="AM1" s="145"/>
      <c r="AN1" s="145"/>
      <c r="AO1" s="145"/>
      <c r="AP1" s="145"/>
      <c r="AQ1" s="145"/>
      <c r="AR1" s="145"/>
      <c r="AS1" s="145"/>
      <c r="AT1" s="145"/>
      <c r="AU1" s="145"/>
      <c r="AV1" s="145"/>
      <c r="AW1" s="145"/>
      <c r="AX1" s="145"/>
      <c r="AY1" s="145"/>
      <c r="AZ1" s="145"/>
      <c r="BA1" s="145"/>
    </row>
    <row r="2" spans="1:54" ht="13.5" thickBot="1" x14ac:dyDescent="0.25">
      <c r="A2" s="7" t="s">
        <v>223</v>
      </c>
      <c r="B2" s="5">
        <v>1</v>
      </c>
      <c r="C2" s="5">
        <v>2</v>
      </c>
      <c r="D2" s="5">
        <v>3</v>
      </c>
      <c r="E2" s="5">
        <v>4</v>
      </c>
      <c r="F2" s="5">
        <v>5</v>
      </c>
      <c r="G2" s="5">
        <v>6</v>
      </c>
      <c r="H2" s="5">
        <v>7</v>
      </c>
      <c r="I2" s="5">
        <v>8</v>
      </c>
      <c r="J2" s="5">
        <v>9</v>
      </c>
      <c r="K2" s="5">
        <v>10</v>
      </c>
      <c r="L2" s="5">
        <v>11</v>
      </c>
      <c r="M2" s="5">
        <v>12</v>
      </c>
      <c r="N2" s="5">
        <v>13</v>
      </c>
      <c r="O2" s="5">
        <v>14</v>
      </c>
      <c r="P2" s="5">
        <v>15</v>
      </c>
      <c r="Q2" s="5">
        <v>16</v>
      </c>
      <c r="R2" s="5">
        <v>17</v>
      </c>
      <c r="S2" s="5">
        <v>18</v>
      </c>
      <c r="T2" s="5">
        <v>19</v>
      </c>
      <c r="U2" s="5">
        <v>20</v>
      </c>
      <c r="V2" s="5">
        <v>21</v>
      </c>
      <c r="W2" s="5">
        <v>22</v>
      </c>
      <c r="X2" s="5">
        <v>23</v>
      </c>
      <c r="Y2" s="5">
        <v>24</v>
      </c>
      <c r="Z2" s="5">
        <v>25</v>
      </c>
      <c r="AA2" s="5">
        <v>26</v>
      </c>
      <c r="AB2" s="5">
        <v>27</v>
      </c>
      <c r="AC2" s="5">
        <v>28</v>
      </c>
      <c r="AD2" s="5">
        <v>29</v>
      </c>
      <c r="AE2" s="5">
        <v>30</v>
      </c>
      <c r="AF2" s="5">
        <v>31</v>
      </c>
      <c r="AG2" s="5">
        <v>32</v>
      </c>
      <c r="AH2" s="5">
        <v>33</v>
      </c>
      <c r="AI2" s="5">
        <v>34</v>
      </c>
      <c r="AJ2" s="5">
        <v>35</v>
      </c>
      <c r="AK2" s="5">
        <v>36</v>
      </c>
      <c r="AL2" s="5">
        <v>37</v>
      </c>
      <c r="AM2" s="5">
        <v>38</v>
      </c>
      <c r="AN2" s="5">
        <v>39</v>
      </c>
      <c r="AO2" s="5">
        <v>40</v>
      </c>
      <c r="AP2" s="5">
        <v>41</v>
      </c>
      <c r="AQ2" s="5">
        <v>42</v>
      </c>
      <c r="AR2" s="5">
        <v>43</v>
      </c>
      <c r="AS2" s="5">
        <v>44</v>
      </c>
      <c r="AT2" s="5">
        <v>45</v>
      </c>
      <c r="AU2" s="5">
        <v>46</v>
      </c>
      <c r="AV2" s="5">
        <v>47</v>
      </c>
      <c r="AW2" s="5">
        <v>48</v>
      </c>
      <c r="AX2" s="5">
        <v>49</v>
      </c>
      <c r="AY2" s="5">
        <v>50</v>
      </c>
      <c r="AZ2" s="5">
        <v>51</v>
      </c>
      <c r="BA2" s="5">
        <v>52</v>
      </c>
      <c r="BB2" s="5">
        <v>53</v>
      </c>
    </row>
    <row r="3" spans="1:54" s="45" customFormat="1" ht="24.75" thickBot="1" x14ac:dyDescent="0.25">
      <c r="A3" s="50" t="s">
        <v>179</v>
      </c>
      <c r="B3" s="51">
        <v>45655</v>
      </c>
      <c r="C3" s="51">
        <v>45662</v>
      </c>
      <c r="D3" s="51">
        <v>45669</v>
      </c>
      <c r="E3" s="51">
        <v>45676</v>
      </c>
      <c r="F3" s="51">
        <v>45683</v>
      </c>
      <c r="G3" s="51">
        <v>45690</v>
      </c>
      <c r="H3" s="51">
        <v>45697</v>
      </c>
      <c r="I3" s="51">
        <v>45704</v>
      </c>
      <c r="J3" s="51">
        <v>45711</v>
      </c>
      <c r="K3" s="51">
        <v>45718</v>
      </c>
      <c r="L3" s="51">
        <v>45725</v>
      </c>
      <c r="M3" s="51">
        <v>45732</v>
      </c>
      <c r="N3" s="51">
        <v>45739</v>
      </c>
      <c r="O3" s="51">
        <v>45746</v>
      </c>
      <c r="P3" s="51">
        <v>45753</v>
      </c>
      <c r="Q3" s="51">
        <v>45760</v>
      </c>
      <c r="R3" s="51">
        <v>45767</v>
      </c>
      <c r="S3" s="51">
        <v>45774</v>
      </c>
      <c r="T3" s="51">
        <v>45781</v>
      </c>
      <c r="U3" s="51">
        <v>45788</v>
      </c>
      <c r="V3" s="51">
        <v>45795</v>
      </c>
      <c r="W3" s="51">
        <v>45802</v>
      </c>
      <c r="X3" s="51">
        <v>45809</v>
      </c>
      <c r="Y3" s="51">
        <v>45816</v>
      </c>
      <c r="Z3" s="51">
        <v>45823</v>
      </c>
      <c r="AA3" s="51">
        <v>45830</v>
      </c>
      <c r="AB3" s="51">
        <v>45837</v>
      </c>
      <c r="AC3" s="51">
        <v>45844</v>
      </c>
      <c r="AD3" s="51">
        <v>45851</v>
      </c>
      <c r="AE3" s="51">
        <v>45858</v>
      </c>
      <c r="AF3" s="51">
        <v>45865</v>
      </c>
      <c r="AG3" s="51">
        <v>45872</v>
      </c>
      <c r="AH3" s="51">
        <v>45879</v>
      </c>
      <c r="AI3" s="51">
        <v>45886</v>
      </c>
      <c r="AJ3" s="51">
        <v>45893</v>
      </c>
      <c r="AK3" s="51">
        <v>45900</v>
      </c>
      <c r="AL3" s="51">
        <v>45907</v>
      </c>
      <c r="AM3" s="51">
        <v>45914</v>
      </c>
      <c r="AN3" s="51">
        <v>45921</v>
      </c>
      <c r="AO3" s="51">
        <v>45928</v>
      </c>
      <c r="AP3" s="51">
        <v>45935</v>
      </c>
      <c r="AQ3" s="51">
        <v>45942</v>
      </c>
      <c r="AR3" s="51">
        <v>45949</v>
      </c>
      <c r="AS3" s="51">
        <v>45956</v>
      </c>
      <c r="AT3" s="51">
        <v>45963</v>
      </c>
      <c r="AU3" s="51">
        <v>45970</v>
      </c>
      <c r="AV3" s="51">
        <v>45977</v>
      </c>
      <c r="AW3" s="51">
        <v>45984</v>
      </c>
      <c r="AX3" s="51">
        <v>45991</v>
      </c>
      <c r="AY3" s="51">
        <v>45998</v>
      </c>
      <c r="AZ3" s="51">
        <v>46005</v>
      </c>
      <c r="BA3" s="51">
        <v>46012</v>
      </c>
      <c r="BB3" s="51">
        <v>46019</v>
      </c>
    </row>
    <row r="4" spans="1:54" s="47" customFormat="1" x14ac:dyDescent="0.2">
      <c r="A4" s="73" t="s">
        <v>173</v>
      </c>
    </row>
    <row r="5" spans="1:54" s="47" customFormat="1" x14ac:dyDescent="0.2">
      <c r="A5" s="74" t="s">
        <v>155</v>
      </c>
      <c r="B5" s="75">
        <v>4703</v>
      </c>
      <c r="C5" s="75">
        <v>5845</v>
      </c>
      <c r="D5" s="75">
        <v>5976</v>
      </c>
      <c r="E5" s="75">
        <v>5724</v>
      </c>
      <c r="F5" s="75">
        <v>5330</v>
      </c>
      <c r="G5" s="75">
        <v>5390</v>
      </c>
      <c r="H5" s="75">
        <v>5674</v>
      </c>
      <c r="I5" s="75">
        <v>5262</v>
      </c>
      <c r="J5" s="75">
        <v>5774</v>
      </c>
      <c r="K5" s="75">
        <v>5684</v>
      </c>
      <c r="L5" s="75">
        <v>6158</v>
      </c>
      <c r="M5" s="75">
        <v>6270</v>
      </c>
      <c r="N5" s="75">
        <v>5781</v>
      </c>
      <c r="O5" s="75">
        <v>5202</v>
      </c>
      <c r="P5" s="75">
        <v>5863</v>
      </c>
      <c r="Q5" s="75">
        <v>5851</v>
      </c>
      <c r="R5" s="75">
        <v>5717</v>
      </c>
      <c r="S5" s="75">
        <v>5571</v>
      </c>
      <c r="T5" s="75">
        <v>5644</v>
      </c>
      <c r="U5" s="75">
        <v>5731</v>
      </c>
      <c r="V5" s="75">
        <v>5628</v>
      </c>
      <c r="W5" s="75">
        <v>5578</v>
      </c>
      <c r="X5" s="75">
        <v>5259</v>
      </c>
      <c r="Y5" s="75">
        <v>5340</v>
      </c>
      <c r="Z5" s="75">
        <v>5160</v>
      </c>
      <c r="AA5" s="75">
        <v>5067</v>
      </c>
      <c r="AB5" s="75">
        <v>4980</v>
      </c>
      <c r="AC5" s="75">
        <v>5341</v>
      </c>
      <c r="AD5" s="75">
        <v>5197</v>
      </c>
      <c r="AE5" s="75">
        <v>5354</v>
      </c>
      <c r="AF5" s="75">
        <v>5362</v>
      </c>
      <c r="AG5" s="75">
        <v>4988</v>
      </c>
      <c r="AH5" s="75">
        <v>5194</v>
      </c>
      <c r="AI5" s="75">
        <v>5201</v>
      </c>
      <c r="AJ5" s="75">
        <v>5108</v>
      </c>
      <c r="AK5" s="75">
        <v>5249</v>
      </c>
      <c r="AL5" s="75">
        <v>5391</v>
      </c>
      <c r="AM5" s="75">
        <v>5166</v>
      </c>
      <c r="AN5" s="75">
        <v>5042</v>
      </c>
      <c r="AO5" s="75">
        <v>4923</v>
      </c>
      <c r="AP5" s="75">
        <v>4960</v>
      </c>
      <c r="AQ5" s="75">
        <v>4894</v>
      </c>
      <c r="AR5" s="75">
        <v>4939</v>
      </c>
      <c r="AS5" s="75">
        <v>5283</v>
      </c>
      <c r="AT5" s="75">
        <v>5077</v>
      </c>
      <c r="AU5" s="75">
        <v>5108</v>
      </c>
      <c r="AV5" s="75">
        <v>5444</v>
      </c>
      <c r="AW5" s="75">
        <v>5247</v>
      </c>
      <c r="AX5" s="75">
        <v>5050</v>
      </c>
      <c r="AY5" s="75">
        <v>4944</v>
      </c>
      <c r="AZ5" s="75">
        <v>4898</v>
      </c>
      <c r="BA5" s="75">
        <v>3962</v>
      </c>
      <c r="BB5" s="75">
        <v>4235</v>
      </c>
    </row>
    <row r="6" spans="1:54" s="47" customFormat="1" x14ac:dyDescent="0.2">
      <c r="A6" s="76" t="s">
        <v>157</v>
      </c>
      <c r="B6" s="13">
        <v>12060</v>
      </c>
      <c r="C6" s="13">
        <v>13005</v>
      </c>
      <c r="D6" s="13">
        <v>12191</v>
      </c>
      <c r="E6" s="13">
        <v>12655</v>
      </c>
      <c r="F6" s="13">
        <v>13064</v>
      </c>
      <c r="G6" s="13">
        <v>12110</v>
      </c>
      <c r="H6" s="13">
        <v>13284</v>
      </c>
      <c r="I6" s="13">
        <v>12092</v>
      </c>
      <c r="J6" s="13">
        <v>13772</v>
      </c>
      <c r="K6" s="13">
        <v>12658</v>
      </c>
      <c r="L6" s="13">
        <v>13181</v>
      </c>
      <c r="M6" s="13">
        <v>12758</v>
      </c>
      <c r="N6" s="13">
        <v>12868</v>
      </c>
      <c r="O6" s="13">
        <v>11742</v>
      </c>
      <c r="P6" s="13">
        <v>12204</v>
      </c>
      <c r="Q6" s="13">
        <v>11789</v>
      </c>
      <c r="R6" s="13">
        <v>11652</v>
      </c>
      <c r="S6" s="13">
        <v>11538</v>
      </c>
      <c r="T6" s="13">
        <v>11814</v>
      </c>
      <c r="U6" s="13">
        <v>11453</v>
      </c>
      <c r="V6" s="13">
        <v>11477</v>
      </c>
      <c r="W6" s="13">
        <v>11133</v>
      </c>
      <c r="X6" s="13">
        <v>12135</v>
      </c>
      <c r="Y6" s="13">
        <v>12372</v>
      </c>
      <c r="Z6" s="13">
        <v>12363</v>
      </c>
      <c r="AA6" s="13">
        <v>11639</v>
      </c>
      <c r="AB6" s="13">
        <v>11712</v>
      </c>
      <c r="AC6" s="13">
        <v>11717</v>
      </c>
      <c r="AD6" s="13">
        <v>12349</v>
      </c>
      <c r="AE6" s="13">
        <v>12490</v>
      </c>
      <c r="AF6" s="13">
        <v>12439</v>
      </c>
      <c r="AG6" s="13">
        <v>11704</v>
      </c>
      <c r="AH6" s="13">
        <v>11951</v>
      </c>
      <c r="AI6" s="13">
        <v>12561</v>
      </c>
      <c r="AJ6" s="13">
        <v>13214</v>
      </c>
      <c r="AK6" s="13">
        <v>12478</v>
      </c>
      <c r="AL6" s="13">
        <v>12477</v>
      </c>
      <c r="AM6" s="13">
        <v>11987</v>
      </c>
      <c r="AN6" s="13">
        <v>12861</v>
      </c>
      <c r="AO6" s="13">
        <v>12274</v>
      </c>
      <c r="AP6" s="13">
        <v>12503</v>
      </c>
      <c r="AQ6" s="13">
        <v>12145</v>
      </c>
      <c r="AR6" s="13">
        <v>12234</v>
      </c>
      <c r="AS6" s="13">
        <v>12673</v>
      </c>
      <c r="AT6" s="13">
        <v>14338</v>
      </c>
      <c r="AU6" s="13">
        <v>13185</v>
      </c>
      <c r="AV6" s="13">
        <v>13536</v>
      </c>
      <c r="AW6" s="13">
        <v>12844</v>
      </c>
      <c r="AX6" s="13">
        <v>13047</v>
      </c>
      <c r="AY6" s="13">
        <v>12606</v>
      </c>
      <c r="AZ6" s="13">
        <v>12844</v>
      </c>
      <c r="BA6" s="13">
        <v>11245</v>
      </c>
      <c r="BB6" s="13">
        <v>12084</v>
      </c>
    </row>
    <row r="7" spans="1:54" s="47" customFormat="1" x14ac:dyDescent="0.2">
      <c r="A7" s="76" t="s">
        <v>159</v>
      </c>
      <c r="B7" s="13">
        <v>16007</v>
      </c>
      <c r="C7" s="13">
        <v>18231</v>
      </c>
      <c r="D7" s="13">
        <v>16899</v>
      </c>
      <c r="E7" s="13">
        <v>17355</v>
      </c>
      <c r="F7" s="13">
        <v>17520</v>
      </c>
      <c r="G7" s="13">
        <v>14756</v>
      </c>
      <c r="H7" s="13">
        <v>16110</v>
      </c>
      <c r="I7" s="13">
        <v>15488</v>
      </c>
      <c r="J7" s="13">
        <v>17330</v>
      </c>
      <c r="K7" s="13">
        <v>17343</v>
      </c>
      <c r="L7" s="13">
        <v>16755</v>
      </c>
      <c r="M7" s="13">
        <v>15720</v>
      </c>
      <c r="N7" s="13">
        <v>18811</v>
      </c>
      <c r="O7" s="13">
        <v>18281</v>
      </c>
      <c r="P7" s="13">
        <v>17732</v>
      </c>
      <c r="Q7" s="13">
        <v>16789</v>
      </c>
      <c r="R7" s="13">
        <v>17977</v>
      </c>
      <c r="S7" s="13">
        <v>17230</v>
      </c>
      <c r="T7" s="13">
        <v>19900</v>
      </c>
      <c r="U7" s="13">
        <v>18320</v>
      </c>
      <c r="V7" s="13">
        <v>19244</v>
      </c>
      <c r="W7" s="13">
        <v>19478</v>
      </c>
      <c r="X7" s="13">
        <v>19152</v>
      </c>
      <c r="Y7" s="13">
        <v>17302</v>
      </c>
      <c r="Z7" s="13">
        <v>18275</v>
      </c>
      <c r="AA7" s="13">
        <v>18540</v>
      </c>
      <c r="AB7" s="13">
        <v>17498</v>
      </c>
      <c r="AC7" s="13">
        <v>17486</v>
      </c>
      <c r="AD7" s="13">
        <v>16538</v>
      </c>
      <c r="AE7" s="13">
        <v>17696</v>
      </c>
      <c r="AF7" s="13">
        <v>17707</v>
      </c>
      <c r="AG7" s="13">
        <v>16882</v>
      </c>
      <c r="AH7" s="13">
        <v>13554</v>
      </c>
      <c r="AI7" s="13">
        <v>14258</v>
      </c>
      <c r="AJ7" s="13">
        <v>17577</v>
      </c>
      <c r="AK7" s="13">
        <v>17169</v>
      </c>
      <c r="AL7" s="13">
        <v>17617</v>
      </c>
      <c r="AM7" s="13">
        <v>15732</v>
      </c>
      <c r="AN7" s="13">
        <v>17741</v>
      </c>
      <c r="AO7" s="13">
        <v>16063</v>
      </c>
      <c r="AP7" s="13">
        <v>17516</v>
      </c>
      <c r="AQ7" s="13">
        <v>17755</v>
      </c>
      <c r="AR7" s="13">
        <v>16913</v>
      </c>
      <c r="AS7" s="13">
        <v>15637</v>
      </c>
      <c r="AT7" s="13">
        <v>16237</v>
      </c>
      <c r="AU7" s="13">
        <v>15827</v>
      </c>
      <c r="AV7" s="13">
        <v>16584</v>
      </c>
      <c r="AW7" s="13">
        <v>16411</v>
      </c>
      <c r="AX7" s="13">
        <v>15575</v>
      </c>
      <c r="AY7" s="13">
        <v>16499</v>
      </c>
      <c r="AZ7" s="13">
        <v>16907</v>
      </c>
      <c r="BA7" s="13">
        <v>14678</v>
      </c>
      <c r="BB7" s="13">
        <v>14769</v>
      </c>
    </row>
    <row r="8" spans="1:54" s="47" customFormat="1" x14ac:dyDescent="0.2">
      <c r="A8" s="76" t="s">
        <v>161</v>
      </c>
      <c r="B8" s="13">
        <v>2556</v>
      </c>
      <c r="C8" s="13">
        <v>2602</v>
      </c>
      <c r="D8" s="13">
        <v>3308</v>
      </c>
      <c r="E8" s="13">
        <v>3695</v>
      </c>
      <c r="F8" s="13">
        <v>3791</v>
      </c>
      <c r="G8" s="13">
        <v>3935</v>
      </c>
      <c r="H8" s="13">
        <v>3613</v>
      </c>
      <c r="I8" s="13">
        <v>4077</v>
      </c>
      <c r="J8" s="13">
        <v>4175</v>
      </c>
      <c r="K8" s="13">
        <v>4189</v>
      </c>
      <c r="L8" s="13">
        <v>4661</v>
      </c>
      <c r="M8" s="13">
        <v>4787</v>
      </c>
      <c r="N8" s="13">
        <v>5465</v>
      </c>
      <c r="O8" s="13">
        <v>4334</v>
      </c>
      <c r="P8" s="13">
        <v>4105</v>
      </c>
      <c r="Q8" s="13">
        <v>4686</v>
      </c>
      <c r="R8" s="13">
        <v>3746</v>
      </c>
      <c r="S8" s="13">
        <v>4168</v>
      </c>
      <c r="T8" s="13">
        <v>4153</v>
      </c>
      <c r="U8" s="13">
        <v>4610</v>
      </c>
      <c r="V8" s="13">
        <v>4129</v>
      </c>
      <c r="W8" s="13">
        <v>3971</v>
      </c>
      <c r="X8" s="13">
        <v>4700</v>
      </c>
      <c r="Y8" s="13">
        <v>4643</v>
      </c>
      <c r="Z8" s="13">
        <v>5049</v>
      </c>
      <c r="AA8" s="13">
        <v>4423</v>
      </c>
      <c r="AB8" s="13">
        <v>3464</v>
      </c>
      <c r="AC8" s="13">
        <v>3412</v>
      </c>
      <c r="AD8" s="13">
        <v>3796</v>
      </c>
      <c r="AE8" s="13">
        <v>3684</v>
      </c>
      <c r="AF8" s="13">
        <v>3694</v>
      </c>
      <c r="AG8" s="13">
        <v>3877</v>
      </c>
      <c r="AH8" s="13">
        <v>4000</v>
      </c>
      <c r="AI8" s="13">
        <v>3758</v>
      </c>
      <c r="AJ8" s="13">
        <v>3847</v>
      </c>
      <c r="AK8" s="13">
        <v>3735</v>
      </c>
      <c r="AL8" s="13">
        <v>4387</v>
      </c>
      <c r="AM8" s="13">
        <v>4536</v>
      </c>
      <c r="AN8" s="13">
        <v>4785</v>
      </c>
      <c r="AO8" s="13">
        <v>4201</v>
      </c>
      <c r="AP8" s="13">
        <v>4400</v>
      </c>
      <c r="AQ8" s="13">
        <v>4339</v>
      </c>
      <c r="AR8" s="13">
        <v>3811</v>
      </c>
      <c r="AS8" s="13">
        <v>3378</v>
      </c>
      <c r="AT8" s="13">
        <v>3035</v>
      </c>
      <c r="AU8" s="13">
        <v>3337</v>
      </c>
      <c r="AV8" s="13">
        <v>4018</v>
      </c>
      <c r="AW8" s="13">
        <v>3789</v>
      </c>
      <c r="AX8" s="13">
        <v>3830</v>
      </c>
      <c r="AY8" s="13">
        <v>4222</v>
      </c>
      <c r="AZ8" s="13">
        <v>3781</v>
      </c>
      <c r="BA8" s="13">
        <v>2734</v>
      </c>
      <c r="BB8" s="13">
        <v>2058</v>
      </c>
    </row>
    <row r="9" spans="1:54" s="47" customFormat="1" x14ac:dyDescent="0.2">
      <c r="A9" s="76" t="s">
        <v>163</v>
      </c>
      <c r="B9" s="13">
        <v>8420</v>
      </c>
      <c r="C9" s="13">
        <v>9421</v>
      </c>
      <c r="D9" s="13">
        <v>9057</v>
      </c>
      <c r="E9" s="13">
        <v>9209</v>
      </c>
      <c r="F9" s="13">
        <v>9844</v>
      </c>
      <c r="G9" s="13">
        <v>9272</v>
      </c>
      <c r="H9" s="13">
        <v>8693</v>
      </c>
      <c r="I9" s="13">
        <v>7959</v>
      </c>
      <c r="J9" s="13">
        <v>9309</v>
      </c>
      <c r="K9" s="13">
        <v>8725</v>
      </c>
      <c r="L9" s="13">
        <v>9504</v>
      </c>
      <c r="M9" s="13">
        <v>9508</v>
      </c>
      <c r="N9" s="13">
        <v>9984</v>
      </c>
      <c r="O9" s="13">
        <v>9115</v>
      </c>
      <c r="P9" s="13">
        <v>9296</v>
      </c>
      <c r="Q9" s="13">
        <v>9935</v>
      </c>
      <c r="R9" s="13">
        <v>10008</v>
      </c>
      <c r="S9" s="13">
        <v>9340</v>
      </c>
      <c r="T9" s="13">
        <v>8636</v>
      </c>
      <c r="U9" s="13">
        <v>8640</v>
      </c>
      <c r="V9" s="13">
        <v>7562</v>
      </c>
      <c r="W9" s="13">
        <v>8494</v>
      </c>
      <c r="X9" s="13">
        <v>7979</v>
      </c>
      <c r="Y9" s="13">
        <v>9167</v>
      </c>
      <c r="Z9" s="13">
        <v>8261</v>
      </c>
      <c r="AA9" s="13">
        <v>8712</v>
      </c>
      <c r="AB9" s="13">
        <v>9472</v>
      </c>
      <c r="AC9" s="13">
        <v>8838</v>
      </c>
      <c r="AD9" s="13">
        <v>9966</v>
      </c>
      <c r="AE9" s="13">
        <v>8883</v>
      </c>
      <c r="AF9" s="13">
        <v>9851</v>
      </c>
      <c r="AG9" s="13">
        <v>8689</v>
      </c>
      <c r="AH9" s="13">
        <v>9293</v>
      </c>
      <c r="AI9" s="13">
        <v>9861</v>
      </c>
      <c r="AJ9" s="13">
        <v>9015</v>
      </c>
      <c r="AK9" s="13">
        <v>8625</v>
      </c>
      <c r="AL9" s="13">
        <v>9213</v>
      </c>
      <c r="AM9" s="13">
        <v>9055</v>
      </c>
      <c r="AN9" s="13">
        <v>9349</v>
      </c>
      <c r="AO9" s="13">
        <v>9871</v>
      </c>
      <c r="AP9" s="13">
        <v>9721</v>
      </c>
      <c r="AQ9" s="13">
        <v>8619</v>
      </c>
      <c r="AR9" s="13">
        <v>8823</v>
      </c>
      <c r="AS9" s="13">
        <v>8863</v>
      </c>
      <c r="AT9" s="13">
        <v>9717</v>
      </c>
      <c r="AU9" s="13">
        <v>9709</v>
      </c>
      <c r="AV9" s="13">
        <v>9876</v>
      </c>
      <c r="AW9" s="13">
        <v>9176</v>
      </c>
      <c r="AX9" s="13">
        <v>9853</v>
      </c>
      <c r="AY9" s="13">
        <v>8652</v>
      </c>
      <c r="AZ9" s="13">
        <v>9136</v>
      </c>
      <c r="BA9" s="13">
        <v>6392</v>
      </c>
      <c r="BB9" s="13">
        <v>7957</v>
      </c>
    </row>
    <row r="10" spans="1:54" s="47" customFormat="1" x14ac:dyDescent="0.2">
      <c r="A10" s="77" t="s">
        <v>165</v>
      </c>
      <c r="B10" s="75">
        <v>13407</v>
      </c>
      <c r="C10" s="75">
        <v>13831</v>
      </c>
      <c r="D10" s="75">
        <v>14289</v>
      </c>
      <c r="E10" s="75">
        <v>13893</v>
      </c>
      <c r="F10" s="75">
        <v>13376</v>
      </c>
      <c r="G10" s="75">
        <v>13310</v>
      </c>
      <c r="H10" s="75">
        <v>13192</v>
      </c>
      <c r="I10" s="75">
        <v>9521</v>
      </c>
      <c r="J10" s="75">
        <v>14227</v>
      </c>
      <c r="K10" s="75">
        <v>14158</v>
      </c>
      <c r="L10" s="75">
        <v>15100</v>
      </c>
      <c r="M10" s="75">
        <v>15203</v>
      </c>
      <c r="N10" s="75">
        <v>14193</v>
      </c>
      <c r="O10" s="75">
        <v>16695</v>
      </c>
      <c r="P10" s="75">
        <v>13531</v>
      </c>
      <c r="Q10" s="75">
        <v>14094</v>
      </c>
      <c r="R10" s="75">
        <v>15865</v>
      </c>
      <c r="S10" s="75">
        <v>15867</v>
      </c>
      <c r="T10" s="75">
        <v>14351</v>
      </c>
      <c r="U10" s="75">
        <v>13306</v>
      </c>
      <c r="V10" s="75">
        <v>12632</v>
      </c>
      <c r="W10" s="75">
        <v>12216</v>
      </c>
      <c r="X10" s="75">
        <v>13119</v>
      </c>
      <c r="Y10" s="75">
        <v>13069</v>
      </c>
      <c r="Z10" s="75">
        <v>12934</v>
      </c>
      <c r="AA10" s="75">
        <v>11817</v>
      </c>
      <c r="AB10" s="75">
        <v>11796</v>
      </c>
      <c r="AC10" s="75">
        <v>13091</v>
      </c>
      <c r="AD10" s="75">
        <v>11287</v>
      </c>
      <c r="AE10" s="75">
        <v>11643</v>
      </c>
      <c r="AF10" s="75">
        <v>11366</v>
      </c>
      <c r="AG10" s="75">
        <v>11439</v>
      </c>
      <c r="AH10" s="75">
        <v>11290</v>
      </c>
      <c r="AI10" s="75">
        <v>9849</v>
      </c>
      <c r="AJ10" s="75">
        <v>11721</v>
      </c>
      <c r="AK10" s="75">
        <v>12785</v>
      </c>
      <c r="AL10" s="75">
        <v>13352</v>
      </c>
      <c r="AM10" s="75">
        <v>14359</v>
      </c>
      <c r="AN10" s="75">
        <v>15401</v>
      </c>
      <c r="AO10" s="75">
        <v>17215</v>
      </c>
      <c r="AP10" s="75">
        <v>16816</v>
      </c>
      <c r="AQ10" s="75">
        <v>15971</v>
      </c>
      <c r="AR10" s="75">
        <v>15077</v>
      </c>
      <c r="AS10" s="75">
        <v>15941</v>
      </c>
      <c r="AT10" s="75">
        <v>16596</v>
      </c>
      <c r="AU10" s="75">
        <v>16139</v>
      </c>
      <c r="AV10" s="75">
        <v>15413</v>
      </c>
      <c r="AW10" s="75">
        <v>15292</v>
      </c>
      <c r="AX10" s="75">
        <v>16355</v>
      </c>
      <c r="AY10" s="75">
        <v>14820</v>
      </c>
      <c r="AZ10" s="75">
        <v>14007</v>
      </c>
      <c r="BA10" s="75">
        <v>11194</v>
      </c>
      <c r="BB10" s="75">
        <v>13004</v>
      </c>
    </row>
    <row r="11" spans="1:54" s="47" customFormat="1" x14ac:dyDescent="0.2">
      <c r="A11" s="76" t="s">
        <v>167</v>
      </c>
      <c r="B11" s="13">
        <v>37144</v>
      </c>
      <c r="C11" s="13">
        <v>42749</v>
      </c>
      <c r="D11" s="13">
        <v>42430</v>
      </c>
      <c r="E11" s="13">
        <v>38559</v>
      </c>
      <c r="F11" s="13">
        <v>40848</v>
      </c>
      <c r="G11" s="13">
        <v>39175</v>
      </c>
      <c r="H11" s="13">
        <v>37940</v>
      </c>
      <c r="I11" s="13">
        <v>30434</v>
      </c>
      <c r="J11" s="13">
        <v>38589</v>
      </c>
      <c r="K11" s="13">
        <v>40894</v>
      </c>
      <c r="L11" s="13">
        <v>42540</v>
      </c>
      <c r="M11" s="13">
        <v>45518</v>
      </c>
      <c r="N11" s="13">
        <v>45400</v>
      </c>
      <c r="O11" s="13">
        <v>40595</v>
      </c>
      <c r="P11" s="13">
        <v>45261</v>
      </c>
      <c r="Q11" s="13">
        <v>43884</v>
      </c>
      <c r="R11" s="13">
        <v>48960</v>
      </c>
      <c r="S11" s="13">
        <v>48360</v>
      </c>
      <c r="T11" s="13">
        <v>48689</v>
      </c>
      <c r="U11" s="13">
        <v>46843</v>
      </c>
      <c r="V11" s="13">
        <v>44102</v>
      </c>
      <c r="W11" s="13">
        <v>48463</v>
      </c>
      <c r="X11" s="13">
        <v>45386</v>
      </c>
      <c r="Y11" s="13">
        <v>44883</v>
      </c>
      <c r="Z11" s="13">
        <v>47079</v>
      </c>
      <c r="AA11" s="13">
        <v>48183</v>
      </c>
      <c r="AB11" s="13">
        <v>44279</v>
      </c>
      <c r="AC11" s="13">
        <v>45423</v>
      </c>
      <c r="AD11" s="13">
        <v>44009</v>
      </c>
      <c r="AE11" s="13">
        <v>43611</v>
      </c>
      <c r="AF11" s="13">
        <v>43793</v>
      </c>
      <c r="AG11" s="13">
        <v>44996</v>
      </c>
      <c r="AH11" s="13">
        <v>44199</v>
      </c>
      <c r="AI11" s="13">
        <v>46410</v>
      </c>
      <c r="AJ11" s="13">
        <v>43408</v>
      </c>
      <c r="AK11" s="13">
        <v>41191</v>
      </c>
      <c r="AL11" s="13">
        <v>42681</v>
      </c>
      <c r="AM11" s="13">
        <v>43619</v>
      </c>
      <c r="AN11" s="13">
        <v>44159</v>
      </c>
      <c r="AO11" s="13">
        <v>43809</v>
      </c>
      <c r="AP11" s="13">
        <v>43249</v>
      </c>
      <c r="AQ11" s="13">
        <v>41699</v>
      </c>
      <c r="AR11" s="13">
        <v>43758</v>
      </c>
      <c r="AS11" s="13">
        <v>42827</v>
      </c>
      <c r="AT11" s="13">
        <v>41536</v>
      </c>
      <c r="AU11" s="13">
        <v>40558</v>
      </c>
      <c r="AV11" s="13">
        <v>42752</v>
      </c>
      <c r="AW11" s="13">
        <v>44102</v>
      </c>
      <c r="AX11" s="13">
        <v>40978</v>
      </c>
      <c r="AY11" s="13">
        <v>40486</v>
      </c>
      <c r="AZ11" s="13">
        <v>39985</v>
      </c>
      <c r="BA11" s="13">
        <v>31953</v>
      </c>
      <c r="BB11" s="13">
        <v>33106</v>
      </c>
    </row>
    <row r="12" spans="1:54" s="47" customFormat="1" ht="13.5" thickBot="1" x14ac:dyDescent="0.25">
      <c r="A12" s="78" t="s">
        <v>174</v>
      </c>
      <c r="B12" s="23">
        <v>94297</v>
      </c>
      <c r="C12" s="23">
        <v>105684</v>
      </c>
      <c r="D12" s="23">
        <v>104150</v>
      </c>
      <c r="E12" s="23">
        <v>101090</v>
      </c>
      <c r="F12" s="23">
        <v>103773</v>
      </c>
      <c r="G12" s="23">
        <v>97948</v>
      </c>
      <c r="H12" s="23">
        <v>98506</v>
      </c>
      <c r="I12" s="23">
        <v>84833</v>
      </c>
      <c r="J12" s="23">
        <v>103176</v>
      </c>
      <c r="K12" s="23">
        <v>103651</v>
      </c>
      <c r="L12" s="23">
        <v>107899</v>
      </c>
      <c r="M12" s="23">
        <v>109764</v>
      </c>
      <c r="N12" s="23">
        <v>112502</v>
      </c>
      <c r="O12" s="23">
        <v>105964</v>
      </c>
      <c r="P12" s="23">
        <v>107992</v>
      </c>
      <c r="Q12" s="23">
        <v>107028</v>
      </c>
      <c r="R12" s="23">
        <v>113925</v>
      </c>
      <c r="S12" s="23">
        <v>112074</v>
      </c>
      <c r="T12" s="23">
        <v>113187</v>
      </c>
      <c r="U12" s="23">
        <v>108903</v>
      </c>
      <c r="V12" s="23">
        <v>104774</v>
      </c>
      <c r="W12" s="23">
        <v>109333</v>
      </c>
      <c r="X12" s="23">
        <v>107730</v>
      </c>
      <c r="Y12" s="23">
        <v>106776</v>
      </c>
      <c r="Z12" s="23">
        <v>109121</v>
      </c>
      <c r="AA12" s="23">
        <v>108381</v>
      </c>
      <c r="AB12" s="23">
        <v>103201</v>
      </c>
      <c r="AC12" s="23">
        <v>105308</v>
      </c>
      <c r="AD12" s="23">
        <v>103142</v>
      </c>
      <c r="AE12" s="23">
        <v>103361</v>
      </c>
      <c r="AF12" s="23">
        <v>104212</v>
      </c>
      <c r="AG12" s="23">
        <v>102575</v>
      </c>
      <c r="AH12" s="23">
        <v>99481</v>
      </c>
      <c r="AI12" s="23">
        <v>101898</v>
      </c>
      <c r="AJ12" s="23">
        <v>103890</v>
      </c>
      <c r="AK12" s="23">
        <v>101232</v>
      </c>
      <c r="AL12" s="23">
        <v>105118</v>
      </c>
      <c r="AM12" s="23">
        <v>104454</v>
      </c>
      <c r="AN12" s="23">
        <v>109338</v>
      </c>
      <c r="AO12" s="23">
        <v>108356</v>
      </c>
      <c r="AP12" s="23">
        <v>109165</v>
      </c>
      <c r="AQ12" s="23">
        <v>105422</v>
      </c>
      <c r="AR12" s="23">
        <v>105555</v>
      </c>
      <c r="AS12" s="23">
        <v>104602</v>
      </c>
      <c r="AT12" s="23">
        <v>106536</v>
      </c>
      <c r="AU12" s="23">
        <v>103863</v>
      </c>
      <c r="AV12" s="23">
        <v>107623</v>
      </c>
      <c r="AW12" s="23">
        <v>106861</v>
      </c>
      <c r="AX12" s="23">
        <v>104688</v>
      </c>
      <c r="AY12" s="23">
        <v>102229</v>
      </c>
      <c r="AZ12" s="23">
        <v>101558</v>
      </c>
      <c r="BA12" s="23">
        <v>82158</v>
      </c>
      <c r="BB12" s="23">
        <v>87213</v>
      </c>
    </row>
    <row r="13" spans="1:54" s="47" customFormat="1" ht="13.5" thickTop="1" x14ac:dyDescent="0.2">
      <c r="A13" s="76"/>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row>
    <row r="14" spans="1:54" s="47" customFormat="1" x14ac:dyDescent="0.2">
      <c r="A14" s="73" t="s">
        <v>175</v>
      </c>
    </row>
    <row r="15" spans="1:54" s="47" customFormat="1" x14ac:dyDescent="0.2">
      <c r="A15" s="74" t="s">
        <v>155</v>
      </c>
      <c r="B15" s="75">
        <v>319.89127000000002</v>
      </c>
      <c r="C15" s="75">
        <v>458.23174599999999</v>
      </c>
      <c r="D15" s="75">
        <v>445.50921499999998</v>
      </c>
      <c r="E15" s="75">
        <v>422.79677199999998</v>
      </c>
      <c r="F15" s="75">
        <v>381.43413700000002</v>
      </c>
      <c r="G15" s="75">
        <v>389.303518</v>
      </c>
      <c r="H15" s="75">
        <v>422.46192000000002</v>
      </c>
      <c r="I15" s="75">
        <v>393.29789</v>
      </c>
      <c r="J15" s="75">
        <v>420.52641399999999</v>
      </c>
      <c r="K15" s="75">
        <v>423.09459299999997</v>
      </c>
      <c r="L15" s="75">
        <v>461.17847799999998</v>
      </c>
      <c r="M15" s="75">
        <v>476.92341599999997</v>
      </c>
      <c r="N15" s="75">
        <v>428.108631</v>
      </c>
      <c r="O15" s="75">
        <v>365.90958899999998</v>
      </c>
      <c r="P15" s="75">
        <v>419.52016200000003</v>
      </c>
      <c r="Q15" s="75">
        <v>414.71169200000003</v>
      </c>
      <c r="R15" s="75">
        <v>399.85967099999999</v>
      </c>
      <c r="S15" s="75">
        <v>402.75079599999998</v>
      </c>
      <c r="T15" s="75">
        <v>392.08822199999997</v>
      </c>
      <c r="U15" s="75">
        <v>414</v>
      </c>
      <c r="V15" s="75">
        <v>403.27918799999998</v>
      </c>
      <c r="W15" s="75">
        <v>399.744935</v>
      </c>
      <c r="X15" s="75">
        <v>392.14165300000002</v>
      </c>
      <c r="Y15" s="75">
        <v>387.099964</v>
      </c>
      <c r="Z15" s="75">
        <v>374.64659</v>
      </c>
      <c r="AA15" s="75">
        <v>365.29629699999998</v>
      </c>
      <c r="AB15" s="75">
        <v>355.93714399999999</v>
      </c>
      <c r="AC15" s="75">
        <v>397.92332099999999</v>
      </c>
      <c r="AD15" s="75">
        <v>387.33641699999998</v>
      </c>
      <c r="AE15" s="75">
        <v>404.68403799999999</v>
      </c>
      <c r="AF15" s="75">
        <v>399.22666700000002</v>
      </c>
      <c r="AG15" s="75">
        <v>371.14814200000001</v>
      </c>
      <c r="AH15" s="75">
        <v>394.76492999999999</v>
      </c>
      <c r="AI15" s="75">
        <v>381.64281199999999</v>
      </c>
      <c r="AJ15" s="75">
        <v>395.688738</v>
      </c>
      <c r="AK15" s="75">
        <v>393.14836400000002</v>
      </c>
      <c r="AL15" s="75">
        <v>418.37107200000003</v>
      </c>
      <c r="AM15" s="75">
        <v>409.607911</v>
      </c>
      <c r="AN15" s="75">
        <v>388.58261700000003</v>
      </c>
      <c r="AO15" s="75">
        <v>384.470122</v>
      </c>
      <c r="AP15" s="75">
        <v>364.59060499999998</v>
      </c>
      <c r="AQ15" s="75">
        <v>355.95953200000002</v>
      </c>
      <c r="AR15" s="75">
        <v>372.538591</v>
      </c>
      <c r="AS15" s="75">
        <v>399.31826799999999</v>
      </c>
      <c r="AT15" s="75">
        <v>390.65660000000003</v>
      </c>
      <c r="AU15" s="75">
        <v>388.32245499999999</v>
      </c>
      <c r="AV15" s="75">
        <v>398.46607999999998</v>
      </c>
      <c r="AW15" s="75">
        <v>391.72187400000001</v>
      </c>
      <c r="AX15" s="75">
        <v>365.18289700000003</v>
      </c>
      <c r="AY15" s="75">
        <v>356.38374900000002</v>
      </c>
      <c r="AZ15" s="75">
        <v>347.13019000000003</v>
      </c>
      <c r="BA15" s="75">
        <v>258.86124999999998</v>
      </c>
      <c r="BB15" s="75">
        <v>284.87561899999997</v>
      </c>
    </row>
    <row r="16" spans="1:54" s="47" customFormat="1" x14ac:dyDescent="0.2">
      <c r="A16" s="76" t="s">
        <v>157</v>
      </c>
      <c r="B16" s="75">
        <v>858.74417400000004</v>
      </c>
      <c r="C16" s="13">
        <v>939.544262</v>
      </c>
      <c r="D16" s="13">
        <v>818.68047200000001</v>
      </c>
      <c r="E16" s="13">
        <v>947.69012199999997</v>
      </c>
      <c r="F16" s="13">
        <v>929.28488200000004</v>
      </c>
      <c r="G16" s="13">
        <v>831.85208499999999</v>
      </c>
      <c r="H16" s="13">
        <v>980.85233800000003</v>
      </c>
      <c r="I16" s="13">
        <v>870.78795700000001</v>
      </c>
      <c r="J16" s="13">
        <v>1061.380926</v>
      </c>
      <c r="K16" s="13">
        <v>897.216048</v>
      </c>
      <c r="L16" s="13">
        <v>988.71959100000004</v>
      </c>
      <c r="M16" s="13">
        <v>918.194391</v>
      </c>
      <c r="N16" s="13">
        <v>941.59204599999998</v>
      </c>
      <c r="O16" s="13">
        <v>816.64185799999996</v>
      </c>
      <c r="P16" s="13">
        <v>865.27707799999996</v>
      </c>
      <c r="Q16" s="13">
        <v>844.42199300000004</v>
      </c>
      <c r="R16" s="13">
        <v>847.80802500000004</v>
      </c>
      <c r="S16" s="13">
        <v>842.49789399999997</v>
      </c>
      <c r="T16" s="13">
        <v>839.56795899999997</v>
      </c>
      <c r="U16" s="13">
        <v>776</v>
      </c>
      <c r="V16" s="13">
        <v>791.73441700000001</v>
      </c>
      <c r="W16" s="13">
        <v>776.90153899999996</v>
      </c>
      <c r="X16" s="13">
        <v>818.87399100000005</v>
      </c>
      <c r="Y16" s="13">
        <v>849.10974199999998</v>
      </c>
      <c r="Z16" s="13">
        <v>867.86895200000004</v>
      </c>
      <c r="AA16" s="13">
        <v>797.45573100000001</v>
      </c>
      <c r="AB16" s="13">
        <v>841.34916799999996</v>
      </c>
      <c r="AC16" s="13">
        <v>762.90682100000004</v>
      </c>
      <c r="AD16" s="13">
        <v>886.37273900000002</v>
      </c>
      <c r="AE16" s="13">
        <v>859.638778</v>
      </c>
      <c r="AF16" s="13">
        <v>909.42033000000004</v>
      </c>
      <c r="AG16" s="13">
        <v>853.30135399999995</v>
      </c>
      <c r="AH16" s="13">
        <v>821.78398500000003</v>
      </c>
      <c r="AI16" s="13">
        <v>928.44029999999998</v>
      </c>
      <c r="AJ16" s="13">
        <v>988.31156099999998</v>
      </c>
      <c r="AK16" s="13">
        <v>911.66417000000001</v>
      </c>
      <c r="AL16" s="13">
        <v>926.46158600000001</v>
      </c>
      <c r="AM16" s="13">
        <v>854.83963400000005</v>
      </c>
      <c r="AN16" s="13">
        <v>981.92425300000002</v>
      </c>
      <c r="AO16" s="13">
        <v>934.71822499999996</v>
      </c>
      <c r="AP16" s="13">
        <v>947.74188200000003</v>
      </c>
      <c r="AQ16" s="13">
        <v>856.46951100000001</v>
      </c>
      <c r="AR16" s="13">
        <v>876.44656399999997</v>
      </c>
      <c r="AS16" s="13">
        <v>953.53304100000003</v>
      </c>
      <c r="AT16" s="13">
        <v>1049.6159829999999</v>
      </c>
      <c r="AU16" s="13">
        <v>957.96872399999995</v>
      </c>
      <c r="AV16" s="13">
        <v>976.69494699999996</v>
      </c>
      <c r="AW16" s="13">
        <v>968.02749100000005</v>
      </c>
      <c r="AX16" s="13">
        <v>972.54746299999999</v>
      </c>
      <c r="AY16" s="13">
        <v>902.89606000000003</v>
      </c>
      <c r="AZ16" s="13">
        <v>969.84037499999999</v>
      </c>
      <c r="BA16" s="13">
        <v>822.19754499999999</v>
      </c>
      <c r="BB16" s="13">
        <v>934.97058600000003</v>
      </c>
    </row>
    <row r="17" spans="1:54" s="47" customFormat="1" x14ac:dyDescent="0.2">
      <c r="A17" s="76" t="s">
        <v>159</v>
      </c>
      <c r="B17" s="75">
        <v>527.97774400000003</v>
      </c>
      <c r="C17" s="13">
        <v>563.66161099999999</v>
      </c>
      <c r="D17" s="13">
        <v>547.61386500000003</v>
      </c>
      <c r="E17" s="13">
        <v>483.35656399999999</v>
      </c>
      <c r="F17" s="13">
        <v>628.48013900000001</v>
      </c>
      <c r="G17" s="13">
        <v>374.24923100000001</v>
      </c>
      <c r="H17" s="13">
        <v>588.01031399999999</v>
      </c>
      <c r="I17" s="13">
        <v>489.81372699999997</v>
      </c>
      <c r="J17" s="13">
        <v>558.50743</v>
      </c>
      <c r="K17" s="13">
        <v>551.05384100000003</v>
      </c>
      <c r="L17" s="13">
        <v>565.34769800000004</v>
      </c>
      <c r="M17" s="13">
        <v>453.744011</v>
      </c>
      <c r="N17" s="13">
        <v>519.91766700000005</v>
      </c>
      <c r="O17" s="13">
        <v>533.31963099999996</v>
      </c>
      <c r="P17" s="13">
        <v>489.11378200000001</v>
      </c>
      <c r="Q17" s="13">
        <v>484.37960700000002</v>
      </c>
      <c r="R17" s="13">
        <v>410.88911999999999</v>
      </c>
      <c r="S17" s="13">
        <v>550.02627700000005</v>
      </c>
      <c r="T17" s="13">
        <v>634.95039899999995</v>
      </c>
      <c r="U17" s="13">
        <v>589</v>
      </c>
      <c r="V17" s="13">
        <v>586.91426799999999</v>
      </c>
      <c r="W17" s="13">
        <v>622.92647799999997</v>
      </c>
      <c r="X17" s="13">
        <v>602.840869</v>
      </c>
      <c r="Y17" s="13">
        <v>491.27468800000003</v>
      </c>
      <c r="Z17" s="13">
        <v>527.50990400000001</v>
      </c>
      <c r="AA17" s="13">
        <v>556.83397300000001</v>
      </c>
      <c r="AB17" s="13">
        <v>487.20356299999997</v>
      </c>
      <c r="AC17" s="13">
        <v>525.11016099999995</v>
      </c>
      <c r="AD17" s="13">
        <v>496.195874</v>
      </c>
      <c r="AE17" s="13">
        <v>548.61793499999999</v>
      </c>
      <c r="AF17" s="13">
        <v>588.55939599999999</v>
      </c>
      <c r="AG17" s="13">
        <v>572.016481</v>
      </c>
      <c r="AH17" s="13">
        <v>537.42531199999996</v>
      </c>
      <c r="AI17" s="13">
        <v>514.473296</v>
      </c>
      <c r="AJ17" s="13">
        <v>549.06363999999996</v>
      </c>
      <c r="AK17" s="13">
        <v>479.13296700000001</v>
      </c>
      <c r="AL17" s="13">
        <v>546.76005299999997</v>
      </c>
      <c r="AM17" s="13">
        <v>494.64536399999997</v>
      </c>
      <c r="AN17" s="13">
        <v>467.90121399999998</v>
      </c>
      <c r="AO17" s="13">
        <v>494.77173399999998</v>
      </c>
      <c r="AP17" s="13">
        <v>578.29350499999998</v>
      </c>
      <c r="AQ17" s="13">
        <v>510.75979899999999</v>
      </c>
      <c r="AR17" s="13">
        <v>454.106066</v>
      </c>
      <c r="AS17" s="13">
        <v>513.93534799999998</v>
      </c>
      <c r="AT17" s="13">
        <v>461.78092500000002</v>
      </c>
      <c r="AU17" s="13">
        <v>519.17277000000001</v>
      </c>
      <c r="AV17" s="13">
        <v>483.93262399999998</v>
      </c>
      <c r="AW17" s="13">
        <v>452.50658900000002</v>
      </c>
      <c r="AX17" s="13">
        <v>431.25634200000002</v>
      </c>
      <c r="AY17" s="13">
        <v>513.88981100000001</v>
      </c>
      <c r="AZ17" s="13">
        <v>483.062679</v>
      </c>
      <c r="BA17" s="13">
        <v>409.41252800000001</v>
      </c>
      <c r="BB17" s="13">
        <v>424.98048199999999</v>
      </c>
    </row>
    <row r="18" spans="1:54" s="47" customFormat="1" x14ac:dyDescent="0.2">
      <c r="A18" s="76" t="s">
        <v>161</v>
      </c>
      <c r="B18" s="75">
        <v>43.235264999999998</v>
      </c>
      <c r="C18" s="13">
        <v>47.766359999999999</v>
      </c>
      <c r="D18" s="13">
        <v>50.929963000000001</v>
      </c>
      <c r="E18" s="13">
        <v>56.739390999999998</v>
      </c>
      <c r="F18" s="13">
        <v>54.255637999999998</v>
      </c>
      <c r="G18" s="13">
        <v>58.219788000000001</v>
      </c>
      <c r="H18" s="13">
        <v>50.968919</v>
      </c>
      <c r="I18" s="13">
        <v>70.570250000000001</v>
      </c>
      <c r="J18" s="13">
        <v>65.932547999999997</v>
      </c>
      <c r="K18" s="13">
        <v>66.000795999999994</v>
      </c>
      <c r="L18" s="13">
        <v>77.549492000000001</v>
      </c>
      <c r="M18" s="13">
        <v>67.802987999999999</v>
      </c>
      <c r="N18" s="13">
        <v>81.927788000000007</v>
      </c>
      <c r="O18" s="13">
        <v>62.282910000000001</v>
      </c>
      <c r="P18" s="13">
        <v>57.228791000000001</v>
      </c>
      <c r="Q18" s="13">
        <v>75.525110999999995</v>
      </c>
      <c r="R18" s="13">
        <v>61.113987000000002</v>
      </c>
      <c r="S18" s="13">
        <v>63.039848999999997</v>
      </c>
      <c r="T18" s="13">
        <v>65.059535999999994</v>
      </c>
      <c r="U18" s="13">
        <v>66</v>
      </c>
      <c r="V18" s="13">
        <v>56.520485000000001</v>
      </c>
      <c r="W18" s="13">
        <v>64.674124000000006</v>
      </c>
      <c r="X18" s="13">
        <v>72.853503000000003</v>
      </c>
      <c r="Y18" s="13">
        <v>71.515664999999998</v>
      </c>
      <c r="Z18" s="13">
        <v>77.899434999999997</v>
      </c>
      <c r="AA18" s="13">
        <v>65.037420999999995</v>
      </c>
      <c r="AB18" s="13">
        <v>64.890213000000003</v>
      </c>
      <c r="AC18" s="13">
        <v>59.627440999999997</v>
      </c>
      <c r="AD18" s="13">
        <v>53.177581000000004</v>
      </c>
      <c r="AE18" s="13">
        <v>60.448929999999997</v>
      </c>
      <c r="AF18" s="13">
        <v>56.876569000000003</v>
      </c>
      <c r="AG18" s="13">
        <v>47.867184999999999</v>
      </c>
      <c r="AH18" s="13">
        <v>59.411977999999998</v>
      </c>
      <c r="AI18" s="13">
        <v>54.584521000000002</v>
      </c>
      <c r="AJ18" s="13">
        <v>59.251081999999997</v>
      </c>
      <c r="AK18" s="13">
        <v>59.392479000000002</v>
      </c>
      <c r="AL18" s="13">
        <v>61.751795000000001</v>
      </c>
      <c r="AM18" s="13">
        <v>65.896949000000006</v>
      </c>
      <c r="AN18" s="13">
        <v>65.366104000000007</v>
      </c>
      <c r="AO18" s="13">
        <v>61.091923999999999</v>
      </c>
      <c r="AP18" s="13">
        <v>69.674153000000004</v>
      </c>
      <c r="AQ18" s="13">
        <v>63.979872999999998</v>
      </c>
      <c r="AR18" s="13">
        <v>66.050353999999999</v>
      </c>
      <c r="AS18" s="13">
        <v>50.124378999999998</v>
      </c>
      <c r="AT18" s="13">
        <v>50.856299</v>
      </c>
      <c r="AU18" s="13">
        <v>48.618161999999998</v>
      </c>
      <c r="AV18" s="13">
        <v>58.188113000000001</v>
      </c>
      <c r="AW18" s="13">
        <v>68.129565999999997</v>
      </c>
      <c r="AX18" s="13">
        <v>56.530591999999999</v>
      </c>
      <c r="AY18" s="13">
        <v>62.710923999999999</v>
      </c>
      <c r="AZ18" s="13">
        <v>58.521610000000003</v>
      </c>
      <c r="BA18" s="13">
        <v>44.286875000000002</v>
      </c>
      <c r="BB18" s="13">
        <v>41.166342</v>
      </c>
    </row>
    <row r="19" spans="1:54" s="47" customFormat="1" x14ac:dyDescent="0.2">
      <c r="A19" s="76" t="s">
        <v>163</v>
      </c>
      <c r="B19" s="75">
        <v>428.89652999999998</v>
      </c>
      <c r="C19" s="13">
        <v>428.29470099999998</v>
      </c>
      <c r="D19" s="13">
        <v>445.39537799999999</v>
      </c>
      <c r="E19" s="13">
        <v>417.58417400000002</v>
      </c>
      <c r="F19" s="13">
        <v>464.77063199999998</v>
      </c>
      <c r="G19" s="13">
        <v>448.70217300000002</v>
      </c>
      <c r="H19" s="13">
        <v>375.45059900000001</v>
      </c>
      <c r="I19" s="13">
        <v>342.53450099999998</v>
      </c>
      <c r="J19" s="13">
        <v>405.73202099999997</v>
      </c>
      <c r="K19" s="13">
        <v>409.99863599999998</v>
      </c>
      <c r="L19" s="13">
        <v>442.18003700000003</v>
      </c>
      <c r="M19" s="13">
        <v>434.02757100000002</v>
      </c>
      <c r="N19" s="13">
        <v>452.04475100000002</v>
      </c>
      <c r="O19" s="13">
        <v>401.66867300000001</v>
      </c>
      <c r="P19" s="13">
        <v>422.17643500000003</v>
      </c>
      <c r="Q19" s="13">
        <v>455.11438800000002</v>
      </c>
      <c r="R19" s="13">
        <v>467.45520199999999</v>
      </c>
      <c r="S19" s="13">
        <v>439.306173</v>
      </c>
      <c r="T19" s="13">
        <v>414.56678799999997</v>
      </c>
      <c r="U19" s="13">
        <v>394</v>
      </c>
      <c r="V19" s="13">
        <v>312.04478799999998</v>
      </c>
      <c r="W19" s="13">
        <v>354.564482</v>
      </c>
      <c r="X19" s="13">
        <v>350.29407400000002</v>
      </c>
      <c r="Y19" s="13">
        <v>361.94662</v>
      </c>
      <c r="Z19" s="13">
        <v>346.86112800000001</v>
      </c>
      <c r="AA19" s="13">
        <v>341.80422900000002</v>
      </c>
      <c r="AB19" s="13">
        <v>354.79818399999999</v>
      </c>
      <c r="AC19" s="13">
        <v>368.24678899999998</v>
      </c>
      <c r="AD19" s="13">
        <v>401.606021</v>
      </c>
      <c r="AE19" s="13">
        <v>366.91344600000002</v>
      </c>
      <c r="AF19" s="13">
        <v>422.06519200000002</v>
      </c>
      <c r="AG19" s="13">
        <v>361.03214800000001</v>
      </c>
      <c r="AH19" s="13">
        <v>403.74636199999998</v>
      </c>
      <c r="AI19" s="13">
        <v>423.05175600000001</v>
      </c>
      <c r="AJ19" s="13">
        <v>413.37038799999999</v>
      </c>
      <c r="AK19" s="13">
        <v>373.17729200000002</v>
      </c>
      <c r="AL19" s="13">
        <v>409.21524099999999</v>
      </c>
      <c r="AM19" s="13">
        <v>390.647221</v>
      </c>
      <c r="AN19" s="13">
        <v>397.20560699999999</v>
      </c>
      <c r="AO19" s="13">
        <v>390.37566299999997</v>
      </c>
      <c r="AP19" s="13">
        <v>440.38538299999999</v>
      </c>
      <c r="AQ19" s="13">
        <v>373.90613500000001</v>
      </c>
      <c r="AR19" s="13">
        <v>392.88327399999997</v>
      </c>
      <c r="AS19" s="13">
        <v>397.86460699999998</v>
      </c>
      <c r="AT19" s="13">
        <v>436.85571199999998</v>
      </c>
      <c r="AU19" s="13">
        <v>419.72894100000002</v>
      </c>
      <c r="AV19" s="13">
        <v>414.08865600000001</v>
      </c>
      <c r="AW19" s="13">
        <v>431.24607600000002</v>
      </c>
      <c r="AX19" s="13">
        <v>431.37305900000001</v>
      </c>
      <c r="AY19" s="13">
        <v>393.50973099999999</v>
      </c>
      <c r="AZ19" s="13">
        <v>365.30000699999999</v>
      </c>
      <c r="BA19" s="13">
        <v>282.40046799999999</v>
      </c>
      <c r="BB19" s="13">
        <v>343.09925700000002</v>
      </c>
    </row>
    <row r="20" spans="1:54" s="47" customFormat="1" x14ac:dyDescent="0.2">
      <c r="A20" s="77" t="s">
        <v>165</v>
      </c>
      <c r="B20" s="75">
        <v>1271.0390460000001</v>
      </c>
      <c r="C20" s="75">
        <v>1316.21738</v>
      </c>
      <c r="D20" s="75">
        <v>1375.8227979999999</v>
      </c>
      <c r="E20" s="75">
        <v>1445.2407889999999</v>
      </c>
      <c r="F20" s="75">
        <v>1313.3169499999999</v>
      </c>
      <c r="G20" s="75">
        <v>1269.7226169999999</v>
      </c>
      <c r="H20" s="75">
        <v>1249.8740720000001</v>
      </c>
      <c r="I20" s="75">
        <v>805.85440300000005</v>
      </c>
      <c r="J20" s="75">
        <v>1411.961278</v>
      </c>
      <c r="K20" s="75">
        <v>1341.119179</v>
      </c>
      <c r="L20" s="75">
        <v>1532.9389530000001</v>
      </c>
      <c r="M20" s="75">
        <v>1575.3770300000001</v>
      </c>
      <c r="N20" s="75">
        <v>1286.3060410000001</v>
      </c>
      <c r="O20" s="75">
        <v>1595.592238</v>
      </c>
      <c r="P20" s="75">
        <v>1271.550925</v>
      </c>
      <c r="Q20" s="75">
        <v>1337.8090999999999</v>
      </c>
      <c r="R20" s="75">
        <v>1517.4587919999999</v>
      </c>
      <c r="S20" s="75">
        <v>1583.809792</v>
      </c>
      <c r="T20" s="75">
        <v>1407.043373</v>
      </c>
      <c r="U20" s="75">
        <v>1248</v>
      </c>
      <c r="V20" s="75">
        <v>1139.1881189999999</v>
      </c>
      <c r="W20" s="75">
        <v>1136.246742</v>
      </c>
      <c r="X20" s="75">
        <v>1235.269618</v>
      </c>
      <c r="Y20" s="75">
        <v>1149.746774</v>
      </c>
      <c r="Z20" s="75">
        <v>1123.5005020000001</v>
      </c>
      <c r="AA20" s="75">
        <v>1071.509384</v>
      </c>
      <c r="AB20" s="75">
        <v>1032.394548</v>
      </c>
      <c r="AC20" s="75">
        <v>1146.3623070000001</v>
      </c>
      <c r="AD20" s="75">
        <v>996.63184799999999</v>
      </c>
      <c r="AE20" s="75">
        <v>958.78646800000001</v>
      </c>
      <c r="AF20" s="75">
        <v>1018.263691</v>
      </c>
      <c r="AG20" s="75">
        <v>1001.68426</v>
      </c>
      <c r="AH20" s="75">
        <v>1012.4116320000001</v>
      </c>
      <c r="AI20" s="75">
        <v>830.03298500000005</v>
      </c>
      <c r="AJ20" s="75">
        <v>970.44166299999995</v>
      </c>
      <c r="AK20" s="75">
        <v>1115.666851</v>
      </c>
      <c r="AL20" s="75">
        <v>1230.0821619999999</v>
      </c>
      <c r="AM20" s="75">
        <v>1299.2979310000001</v>
      </c>
      <c r="AN20" s="75">
        <v>1511.111936</v>
      </c>
      <c r="AO20" s="75">
        <v>1581.092283</v>
      </c>
      <c r="AP20" s="75">
        <v>1563.6234830000001</v>
      </c>
      <c r="AQ20" s="75">
        <v>1466.4586059999999</v>
      </c>
      <c r="AR20" s="75">
        <v>1439.1369</v>
      </c>
      <c r="AS20" s="75">
        <v>1519.3248369999999</v>
      </c>
      <c r="AT20" s="75">
        <v>1572.732849</v>
      </c>
      <c r="AU20" s="75">
        <v>1669.4831240000001</v>
      </c>
      <c r="AV20" s="75">
        <v>1588.1825630000001</v>
      </c>
      <c r="AW20" s="75">
        <v>1479.300334</v>
      </c>
      <c r="AX20" s="75">
        <v>1629.4985790000001</v>
      </c>
      <c r="AY20" s="75">
        <v>1492.711033</v>
      </c>
      <c r="AZ20" s="75">
        <v>1314.643041</v>
      </c>
      <c r="BA20" s="75">
        <v>1113.568213</v>
      </c>
      <c r="BB20" s="75">
        <v>1267.719261</v>
      </c>
    </row>
    <row r="21" spans="1:54" s="47" customFormat="1" x14ac:dyDescent="0.2">
      <c r="A21" s="76" t="s">
        <v>167</v>
      </c>
      <c r="B21" s="75">
        <v>815.30402000000004</v>
      </c>
      <c r="C21" s="13">
        <v>1078.7813779999999</v>
      </c>
      <c r="D21" s="13">
        <v>1066.4725900000001</v>
      </c>
      <c r="E21" s="13">
        <v>920.26091699999995</v>
      </c>
      <c r="F21" s="13">
        <v>981.032961</v>
      </c>
      <c r="G21" s="13">
        <v>954.95856000000003</v>
      </c>
      <c r="H21" s="13">
        <v>929.40523299999995</v>
      </c>
      <c r="I21" s="13">
        <v>765.80958399999997</v>
      </c>
      <c r="J21" s="13">
        <v>946.68862100000001</v>
      </c>
      <c r="K21" s="13">
        <v>999.05781999999999</v>
      </c>
      <c r="L21" s="13">
        <v>1023.881296</v>
      </c>
      <c r="M21" s="13">
        <v>1112.9606349999999</v>
      </c>
      <c r="N21" s="13">
        <v>1087.9779370000001</v>
      </c>
      <c r="O21" s="13">
        <v>1030.0531140000001</v>
      </c>
      <c r="P21" s="13">
        <v>1045.3867479999999</v>
      </c>
      <c r="Q21" s="13">
        <v>980.70191799999998</v>
      </c>
      <c r="R21" s="13">
        <v>1187.763279</v>
      </c>
      <c r="S21" s="13">
        <v>1159.323817</v>
      </c>
      <c r="T21" s="13">
        <v>1120.048955</v>
      </c>
      <c r="U21" s="13">
        <v>1085</v>
      </c>
      <c r="V21" s="13">
        <v>945.76660600000002</v>
      </c>
      <c r="W21" s="13">
        <v>1103.1922689999999</v>
      </c>
      <c r="X21" s="13">
        <v>1053.8790739999999</v>
      </c>
      <c r="Y21" s="13">
        <v>971.91354100000001</v>
      </c>
      <c r="Z21" s="13">
        <v>1074.1178910000001</v>
      </c>
      <c r="AA21" s="13">
        <v>1105.8369009999999</v>
      </c>
      <c r="AB21" s="13">
        <v>965.22391000000005</v>
      </c>
      <c r="AC21" s="13">
        <v>1016.228458</v>
      </c>
      <c r="AD21" s="13">
        <v>978.76567499999999</v>
      </c>
      <c r="AE21" s="13">
        <v>960.89804800000002</v>
      </c>
      <c r="AF21" s="13">
        <v>1010.360158</v>
      </c>
      <c r="AG21" s="13">
        <v>1008.637739</v>
      </c>
      <c r="AH21" s="13">
        <v>981.40062699999999</v>
      </c>
      <c r="AI21" s="13">
        <v>1013.313163</v>
      </c>
      <c r="AJ21" s="13">
        <v>1007.88144</v>
      </c>
      <c r="AK21" s="13">
        <v>915.35735599999998</v>
      </c>
      <c r="AL21" s="13">
        <v>999.935653</v>
      </c>
      <c r="AM21" s="13">
        <v>978.66083600000002</v>
      </c>
      <c r="AN21" s="13">
        <v>1057.176584</v>
      </c>
      <c r="AO21" s="13">
        <v>1034.9256800000001</v>
      </c>
      <c r="AP21" s="13">
        <v>1005.798857</v>
      </c>
      <c r="AQ21" s="13">
        <v>968.71239100000003</v>
      </c>
      <c r="AR21" s="13">
        <v>1105.52819</v>
      </c>
      <c r="AS21" s="13">
        <v>1012.5545949999999</v>
      </c>
      <c r="AT21" s="13">
        <v>1015.758644</v>
      </c>
      <c r="AU21" s="13">
        <v>974.28498999999999</v>
      </c>
      <c r="AV21" s="13">
        <v>979.58691799999997</v>
      </c>
      <c r="AW21" s="13">
        <v>1039.941425</v>
      </c>
      <c r="AX21" s="13">
        <v>988.49892199999999</v>
      </c>
      <c r="AY21" s="13">
        <v>917.73906799999997</v>
      </c>
      <c r="AZ21" s="13">
        <v>918.77713200000005</v>
      </c>
      <c r="BA21" s="13">
        <v>766.05631000000005</v>
      </c>
      <c r="BB21" s="13">
        <v>723.42934500000001</v>
      </c>
    </row>
    <row r="22" spans="1:54" s="47" customFormat="1" ht="13.5" thickBot="1" x14ac:dyDescent="0.25">
      <c r="A22" s="78" t="s">
        <v>176</v>
      </c>
      <c r="B22" s="23">
        <v>4265.088049</v>
      </c>
      <c r="C22" s="23">
        <v>4832.4974380000003</v>
      </c>
      <c r="D22" s="23">
        <v>4750.4242810000005</v>
      </c>
      <c r="E22" s="23">
        <v>4693.668729</v>
      </c>
      <c r="F22" s="23">
        <v>4752.575339</v>
      </c>
      <c r="G22" s="23">
        <v>4327.0079719999994</v>
      </c>
      <c r="H22" s="23">
        <v>4597.0233950000002</v>
      </c>
      <c r="I22" s="23">
        <v>3738.6683120000002</v>
      </c>
      <c r="J22" s="23">
        <v>4870.7292379999999</v>
      </c>
      <c r="K22" s="23">
        <v>4687.5409129999998</v>
      </c>
      <c r="L22" s="23">
        <v>5091.7955450000009</v>
      </c>
      <c r="M22" s="23">
        <v>5039.0300420000003</v>
      </c>
      <c r="N22" s="23">
        <v>4797.8748610000002</v>
      </c>
      <c r="O22" s="23">
        <v>4805.4680129999997</v>
      </c>
      <c r="P22" s="23">
        <v>4570.2539209999995</v>
      </c>
      <c r="Q22" s="23">
        <v>4592.6638089999997</v>
      </c>
      <c r="R22" s="23">
        <v>4892.3480760000002</v>
      </c>
      <c r="S22" s="23">
        <v>5040.7545979999995</v>
      </c>
      <c r="T22" s="23">
        <v>4873.3252319999992</v>
      </c>
      <c r="U22" s="23">
        <v>4572</v>
      </c>
      <c r="V22" s="23">
        <v>4235.4478710000003</v>
      </c>
      <c r="W22" s="23">
        <v>4458.2505690000007</v>
      </c>
      <c r="X22" s="23">
        <v>4526.152782000001</v>
      </c>
      <c r="Y22" s="23">
        <v>4282.6069939999998</v>
      </c>
      <c r="Z22" s="23">
        <v>4392.4044020000001</v>
      </c>
      <c r="AA22" s="23">
        <v>4303.7739359999996</v>
      </c>
      <c r="AB22" s="23">
        <v>4101.79673</v>
      </c>
      <c r="AC22" s="23">
        <v>4276.4052979999997</v>
      </c>
      <c r="AD22" s="23">
        <v>4200.086155</v>
      </c>
      <c r="AE22" s="23">
        <v>4159.9876430000004</v>
      </c>
      <c r="AF22" s="23">
        <v>4404.772003</v>
      </c>
      <c r="AG22" s="23">
        <v>4215.6873089999999</v>
      </c>
      <c r="AH22" s="23">
        <v>4210.9448259999999</v>
      </c>
      <c r="AI22" s="23">
        <v>4145.5388329999996</v>
      </c>
      <c r="AJ22" s="23">
        <v>4384.0085120000003</v>
      </c>
      <c r="AK22" s="23">
        <v>4247.539479</v>
      </c>
      <c r="AL22" s="23">
        <v>4592.5775620000004</v>
      </c>
      <c r="AM22" s="23">
        <v>4493.5958460000002</v>
      </c>
      <c r="AN22" s="23">
        <v>4869.2683150000003</v>
      </c>
      <c r="AO22" s="23">
        <v>4881.4456309999996</v>
      </c>
      <c r="AP22" s="23">
        <v>4970.1078680000001</v>
      </c>
      <c r="AQ22" s="23">
        <v>4596.2458470000001</v>
      </c>
      <c r="AR22" s="23">
        <v>4706.6899389999999</v>
      </c>
      <c r="AS22" s="23">
        <v>4846.6550749999997</v>
      </c>
      <c r="AT22" s="23">
        <v>4978.257012</v>
      </c>
      <c r="AU22" s="23">
        <v>4977.5791660000004</v>
      </c>
      <c r="AV22" s="23">
        <v>4899.1399009999996</v>
      </c>
      <c r="AW22" s="23">
        <v>4830.8733549999997</v>
      </c>
      <c r="AX22" s="23">
        <v>4874.8878539999996</v>
      </c>
      <c r="AY22" s="23">
        <v>4639.8403760000001</v>
      </c>
      <c r="AZ22" s="23">
        <v>4457.2750340000002</v>
      </c>
      <c r="BA22" s="23">
        <v>3696.7831889999998</v>
      </c>
      <c r="BB22" s="23">
        <v>4020.2408920000003</v>
      </c>
    </row>
    <row r="23" spans="1:54" s="47" customFormat="1" ht="13.5" thickTop="1" x14ac:dyDescent="0.2">
      <c r="BB23"/>
    </row>
    <row r="24" spans="1:54" s="47" customFormat="1" x14ac:dyDescent="0.2">
      <c r="BB24"/>
    </row>
    <row r="25" spans="1:54" s="47" customFormat="1" x14ac:dyDescent="0.2">
      <c r="BB25"/>
    </row>
    <row r="26" spans="1:54" s="47" customFormat="1" x14ac:dyDescent="0.2">
      <c r="BB26"/>
    </row>
    <row r="27" spans="1:54" s="47" customFormat="1" x14ac:dyDescent="0.2">
      <c r="BB27"/>
    </row>
    <row r="28" spans="1:54" s="47" customFormat="1" x14ac:dyDescent="0.2">
      <c r="BB28"/>
    </row>
    <row r="29" spans="1:54" s="47" customFormat="1" x14ac:dyDescent="0.2">
      <c r="BB29"/>
    </row>
    <row r="30" spans="1:54" s="47" customFormat="1" x14ac:dyDescent="0.2">
      <c r="BB30"/>
    </row>
    <row r="31" spans="1:54" s="47" customFormat="1" x14ac:dyDescent="0.2">
      <c r="BB31"/>
    </row>
    <row r="32" spans="1:54" s="47" customFormat="1" x14ac:dyDescent="0.2">
      <c r="BB32"/>
    </row>
    <row r="33" spans="54:54" s="47" customFormat="1" x14ac:dyDescent="0.2">
      <c r="BB33"/>
    </row>
    <row r="34" spans="54:54" s="47" customFormat="1" x14ac:dyDescent="0.2">
      <c r="BB34"/>
    </row>
    <row r="35" spans="54:54" s="47" customFormat="1" x14ac:dyDescent="0.2">
      <c r="BB35"/>
    </row>
    <row r="36" spans="54:54" s="47" customFormat="1" x14ac:dyDescent="0.2">
      <c r="BB36"/>
    </row>
    <row r="37" spans="54:54" s="47" customFormat="1" x14ac:dyDescent="0.2">
      <c r="BB37"/>
    </row>
    <row r="38" spans="54:54" s="47" customFormat="1" x14ac:dyDescent="0.2">
      <c r="BB38"/>
    </row>
    <row r="39" spans="54:54" s="47" customFormat="1" x14ac:dyDescent="0.2">
      <c r="BB39"/>
    </row>
    <row r="40" spans="54:54" s="47" customFormat="1" x14ac:dyDescent="0.2">
      <c r="BB40"/>
    </row>
    <row r="41" spans="54:54" s="47" customFormat="1" x14ac:dyDescent="0.2">
      <c r="BB41"/>
    </row>
    <row r="42" spans="54:54" s="47" customFormat="1" x14ac:dyDescent="0.2">
      <c r="BB42"/>
    </row>
    <row r="43" spans="54:54" s="47" customFormat="1" x14ac:dyDescent="0.2">
      <c r="BB43"/>
    </row>
    <row r="44" spans="54:54" s="47" customFormat="1" x14ac:dyDescent="0.2">
      <c r="BB44"/>
    </row>
    <row r="45" spans="54:54" s="47" customFormat="1" x14ac:dyDescent="0.2">
      <c r="BB45"/>
    </row>
    <row r="46" spans="54:54" s="47" customFormat="1" x14ac:dyDescent="0.2">
      <c r="BB46"/>
    </row>
    <row r="47" spans="54:54" s="47" customFormat="1" x14ac:dyDescent="0.2">
      <c r="BB47"/>
    </row>
    <row r="48" spans="54:54" s="47" customFormat="1" x14ac:dyDescent="0.2">
      <c r="BB48"/>
    </row>
    <row r="49" spans="54:54" s="47" customFormat="1" x14ac:dyDescent="0.2">
      <c r="BB49"/>
    </row>
    <row r="50" spans="54:54" s="47" customFormat="1" x14ac:dyDescent="0.2">
      <c r="BB50"/>
    </row>
    <row r="51" spans="54:54" s="47" customFormat="1" x14ac:dyDescent="0.2">
      <c r="BB51"/>
    </row>
    <row r="52" spans="54:54" s="47" customFormat="1" x14ac:dyDescent="0.2">
      <c r="BB52"/>
    </row>
    <row r="53" spans="54:54" s="47" customFormat="1" x14ac:dyDescent="0.2">
      <c r="BB53"/>
    </row>
    <row r="54" spans="54:54" s="47" customFormat="1" x14ac:dyDescent="0.2">
      <c r="BB54"/>
    </row>
  </sheetData>
  <sheetProtection algorithmName="SHA-512" hashValue="Jrj0MhhEMNpMAJ0GftQGySIMLFGaXC3LhrIhLh0kvG5hY9Owi51D4E1wlYmUjiRt0xGOKq+ba9xdYeIzdF9+zQ==" saltValue="FEeu+UaECqlYfMcLY2sBgg==" spinCount="100000" sheet="1" objects="1" scenarios="1"/>
  <mergeCells count="1">
    <mergeCell ref="A1:BA1"/>
  </mergeCells>
  <pageMargins left="0.17" right="0.17" top="0.17" bottom="0.5" header="0.17" footer="0.5"/>
  <pageSetup scale="70" fitToWidth="0" fitToHeight="0" orientation="landscape" r:id="rId1"/>
  <headerFooter alignWithMargins="0"/>
  <colBreaks count="3" manualBreakCount="3">
    <brk id="14" max="48" man="1"/>
    <brk id="27" max="48" man="1"/>
    <brk id="40" max="48"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D8F06A-8C20-4AA0-ACCD-1E0BF299C130}">
  <sheetPr codeName="Sheet17">
    <tabColor rgb="FF92D050"/>
  </sheetPr>
  <dimension ref="A1:BB54"/>
  <sheetViews>
    <sheetView zoomScale="70" zoomScaleNormal="70" workbookViewId="0">
      <pane xSplit="1" ySplit="3" topLeftCell="AF4" activePane="bottomRight" state="frozen"/>
      <selection activeCell="C22" sqref="C22"/>
      <selection pane="topRight" activeCell="C22" sqref="C22"/>
      <selection pane="bottomLeft" activeCell="C22" sqref="C22"/>
      <selection pane="bottomRight" activeCell="C22" sqref="C22"/>
    </sheetView>
  </sheetViews>
  <sheetFormatPr defaultColWidth="6.7109375" defaultRowHeight="12.75" x14ac:dyDescent="0.2"/>
  <cols>
    <col min="1" max="1" width="50.42578125" style="42" bestFit="1" customWidth="1"/>
    <col min="2" max="2" width="9.42578125" style="43" customWidth="1"/>
    <col min="3" max="52" width="9.42578125" style="42" customWidth="1"/>
    <col min="53" max="53" width="9.5703125" style="42" bestFit="1" customWidth="1"/>
    <col min="54" max="16384" width="6.7109375" style="42"/>
  </cols>
  <sheetData>
    <row r="1" spans="1:54" ht="23.25" x14ac:dyDescent="0.35">
      <c r="A1" s="145" t="s">
        <v>224</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c r="AE1" s="145"/>
      <c r="AF1" s="145"/>
      <c r="AG1" s="145"/>
      <c r="AH1" s="145"/>
      <c r="AI1" s="145"/>
      <c r="AJ1" s="145"/>
      <c r="AK1" s="145"/>
      <c r="AL1" s="145"/>
      <c r="AM1" s="145"/>
      <c r="AN1" s="145"/>
      <c r="AO1" s="145"/>
      <c r="AP1" s="145"/>
      <c r="AQ1" s="145"/>
      <c r="AR1" s="145"/>
      <c r="AS1" s="145"/>
      <c r="AT1" s="145"/>
      <c r="AU1" s="145"/>
      <c r="AV1" s="145"/>
      <c r="AW1" s="145"/>
      <c r="AX1" s="145"/>
      <c r="AY1" s="145"/>
      <c r="AZ1" s="145"/>
      <c r="BA1" s="145"/>
    </row>
    <row r="2" spans="1:54" ht="13.5" thickBot="1" x14ac:dyDescent="0.25">
      <c r="A2" s="7" t="s">
        <v>223</v>
      </c>
      <c r="B2" s="5">
        <v>1</v>
      </c>
      <c r="C2" s="5">
        <v>2</v>
      </c>
      <c r="D2" s="5">
        <v>3</v>
      </c>
      <c r="E2" s="5">
        <v>4</v>
      </c>
      <c r="F2" s="5">
        <v>5</v>
      </c>
      <c r="G2" s="5">
        <v>6</v>
      </c>
      <c r="H2" s="5">
        <v>7</v>
      </c>
      <c r="I2" s="5">
        <v>8</v>
      </c>
      <c r="J2" s="5">
        <v>9</v>
      </c>
      <c r="K2" s="5">
        <v>10</v>
      </c>
      <c r="L2" s="5">
        <v>11</v>
      </c>
      <c r="M2" s="5">
        <v>12</v>
      </c>
      <c r="N2" s="5">
        <v>13</v>
      </c>
      <c r="O2" s="5">
        <v>14</v>
      </c>
      <c r="P2" s="5">
        <v>15</v>
      </c>
      <c r="Q2" s="5">
        <v>16</v>
      </c>
      <c r="R2" s="5">
        <v>17</v>
      </c>
      <c r="S2" s="5">
        <v>18</v>
      </c>
      <c r="T2" s="5">
        <v>19</v>
      </c>
      <c r="U2" s="5">
        <v>20</v>
      </c>
      <c r="V2" s="5">
        <v>21</v>
      </c>
      <c r="W2" s="5">
        <v>22</v>
      </c>
      <c r="X2" s="5">
        <v>23</v>
      </c>
      <c r="Y2" s="5">
        <v>24</v>
      </c>
      <c r="Z2" s="5">
        <v>25</v>
      </c>
      <c r="AA2" s="5">
        <v>26</v>
      </c>
      <c r="AB2" s="5">
        <v>27</v>
      </c>
      <c r="AC2" s="5">
        <v>28</v>
      </c>
      <c r="AD2" s="5">
        <v>29</v>
      </c>
      <c r="AE2" s="5">
        <v>30</v>
      </c>
      <c r="AF2" s="5">
        <v>31</v>
      </c>
      <c r="AG2" s="5">
        <v>32</v>
      </c>
      <c r="AH2" s="5">
        <v>33</v>
      </c>
      <c r="AI2" s="5">
        <v>34</v>
      </c>
      <c r="AJ2" s="5">
        <v>35</v>
      </c>
      <c r="AK2" s="5">
        <v>36</v>
      </c>
      <c r="AL2" s="5">
        <v>37</v>
      </c>
      <c r="AM2" s="5">
        <v>38</v>
      </c>
      <c r="AN2" s="5">
        <v>39</v>
      </c>
      <c r="AO2" s="5">
        <v>40</v>
      </c>
      <c r="AP2" s="5">
        <v>41</v>
      </c>
      <c r="AQ2" s="5">
        <v>42</v>
      </c>
      <c r="AR2" s="5">
        <v>43</v>
      </c>
      <c r="AS2" s="5">
        <v>44</v>
      </c>
      <c r="AT2" s="5">
        <v>45</v>
      </c>
      <c r="AU2" s="5">
        <v>46</v>
      </c>
      <c r="AV2" s="5">
        <v>47</v>
      </c>
      <c r="AW2" s="5">
        <v>48</v>
      </c>
      <c r="AX2" s="5">
        <v>49</v>
      </c>
      <c r="AY2" s="5">
        <v>50</v>
      </c>
      <c r="AZ2" s="5">
        <v>51</v>
      </c>
      <c r="BA2" s="5">
        <v>52</v>
      </c>
    </row>
    <row r="3" spans="1:54" s="45" customFormat="1" ht="24.75" thickBot="1" x14ac:dyDescent="0.25">
      <c r="A3" s="50" t="s">
        <v>179</v>
      </c>
      <c r="B3" s="51">
        <v>45291</v>
      </c>
      <c r="C3" s="51">
        <v>45298</v>
      </c>
      <c r="D3" s="51">
        <v>45305</v>
      </c>
      <c r="E3" s="51">
        <v>45312</v>
      </c>
      <c r="F3" s="51">
        <v>45319</v>
      </c>
      <c r="G3" s="51">
        <v>45326</v>
      </c>
      <c r="H3" s="51">
        <v>45333</v>
      </c>
      <c r="I3" s="51">
        <v>45340</v>
      </c>
      <c r="J3" s="51">
        <v>45347</v>
      </c>
      <c r="K3" s="51">
        <v>45354</v>
      </c>
      <c r="L3" s="51">
        <v>45361</v>
      </c>
      <c r="M3" s="51">
        <v>45368</v>
      </c>
      <c r="N3" s="51">
        <v>45375</v>
      </c>
      <c r="O3" s="51">
        <v>45382</v>
      </c>
      <c r="P3" s="51">
        <v>45389</v>
      </c>
      <c r="Q3" s="51">
        <v>45396</v>
      </c>
      <c r="R3" s="51">
        <v>45403</v>
      </c>
      <c r="S3" s="51">
        <v>45410</v>
      </c>
      <c r="T3" s="51">
        <v>45417</v>
      </c>
      <c r="U3" s="51">
        <v>45424</v>
      </c>
      <c r="V3" s="51">
        <v>45431</v>
      </c>
      <c r="W3" s="51">
        <v>45438</v>
      </c>
      <c r="X3" s="51">
        <v>45445</v>
      </c>
      <c r="Y3" s="51">
        <v>45452</v>
      </c>
      <c r="Z3" s="51">
        <v>45459</v>
      </c>
      <c r="AA3" s="51">
        <v>45466</v>
      </c>
      <c r="AB3" s="51">
        <v>45473</v>
      </c>
      <c r="AC3" s="51">
        <v>45480</v>
      </c>
      <c r="AD3" s="51">
        <v>45487</v>
      </c>
      <c r="AE3" s="51">
        <v>45494</v>
      </c>
      <c r="AF3" s="51">
        <v>45501</v>
      </c>
      <c r="AG3" s="51">
        <v>45508</v>
      </c>
      <c r="AH3" s="51">
        <v>45515</v>
      </c>
      <c r="AI3" s="51">
        <v>45522</v>
      </c>
      <c r="AJ3" s="51">
        <v>45529</v>
      </c>
      <c r="AK3" s="51">
        <v>45536</v>
      </c>
      <c r="AL3" s="51">
        <v>45543</v>
      </c>
      <c r="AM3" s="51">
        <v>45550</v>
      </c>
      <c r="AN3" s="51">
        <v>45557</v>
      </c>
      <c r="AO3" s="51">
        <v>45564</v>
      </c>
      <c r="AP3" s="51">
        <v>45571</v>
      </c>
      <c r="AQ3" s="51">
        <v>45578</v>
      </c>
      <c r="AR3" s="51">
        <v>45585</v>
      </c>
      <c r="AS3" s="51">
        <v>45592</v>
      </c>
      <c r="AT3" s="51">
        <v>45599</v>
      </c>
      <c r="AU3" s="51">
        <v>45606</v>
      </c>
      <c r="AV3" s="51">
        <v>45613</v>
      </c>
      <c r="AW3" s="51">
        <v>45620</v>
      </c>
      <c r="AX3" s="51">
        <v>45627</v>
      </c>
      <c r="AY3" s="51">
        <v>45634</v>
      </c>
      <c r="AZ3" s="51">
        <v>45641</v>
      </c>
      <c r="BA3" s="51">
        <v>45648</v>
      </c>
      <c r="BB3" s="52"/>
    </row>
    <row r="4" spans="1:54" s="47" customFormat="1" x14ac:dyDescent="0.2">
      <c r="A4" s="73" t="s">
        <v>173</v>
      </c>
    </row>
    <row r="5" spans="1:54" s="47" customFormat="1" x14ac:dyDescent="0.2">
      <c r="A5" s="74" t="s">
        <v>155</v>
      </c>
      <c r="B5" s="75">
        <v>5358</v>
      </c>
      <c r="C5" s="75">
        <v>5540</v>
      </c>
      <c r="D5" s="75">
        <v>5300</v>
      </c>
      <c r="E5" s="75">
        <v>6112</v>
      </c>
      <c r="F5" s="75">
        <v>6088</v>
      </c>
      <c r="G5" s="75">
        <v>6065</v>
      </c>
      <c r="H5" s="75">
        <v>6290</v>
      </c>
      <c r="I5" s="75">
        <v>6352</v>
      </c>
      <c r="J5" s="75">
        <v>6119</v>
      </c>
      <c r="K5" s="75">
        <v>6120</v>
      </c>
      <c r="L5" s="75">
        <v>6386</v>
      </c>
      <c r="M5" s="75">
        <v>6139</v>
      </c>
      <c r="N5" s="75">
        <v>6099</v>
      </c>
      <c r="O5" s="75">
        <v>6066</v>
      </c>
      <c r="P5" s="75">
        <v>6331</v>
      </c>
      <c r="Q5" s="75">
        <v>6293</v>
      </c>
      <c r="R5" s="75">
        <v>5924</v>
      </c>
      <c r="S5" s="75">
        <v>5973</v>
      </c>
      <c r="T5" s="75">
        <v>5951</v>
      </c>
      <c r="U5" s="75">
        <v>6146</v>
      </c>
      <c r="V5" s="75">
        <v>5673</v>
      </c>
      <c r="W5" s="75">
        <v>5853</v>
      </c>
      <c r="X5" s="75">
        <v>5846</v>
      </c>
      <c r="Y5" s="75">
        <v>5684</v>
      </c>
      <c r="Z5" s="75">
        <v>5673</v>
      </c>
      <c r="AA5" s="75">
        <v>5706</v>
      </c>
      <c r="AB5" s="75">
        <v>5481</v>
      </c>
      <c r="AC5" s="75">
        <v>5857</v>
      </c>
      <c r="AD5" s="75">
        <v>5791</v>
      </c>
      <c r="AE5" s="75">
        <v>5387</v>
      </c>
      <c r="AF5" s="75">
        <v>5478</v>
      </c>
      <c r="AG5" s="75">
        <v>5718</v>
      </c>
      <c r="AH5" s="75">
        <v>5888</v>
      </c>
      <c r="AI5" s="75">
        <v>4693</v>
      </c>
      <c r="AJ5" s="75">
        <v>5213</v>
      </c>
      <c r="AK5" s="75">
        <v>5541</v>
      </c>
      <c r="AL5" s="75">
        <v>5370</v>
      </c>
      <c r="AM5" s="75">
        <v>5744</v>
      </c>
      <c r="AN5" s="75">
        <v>5589</v>
      </c>
      <c r="AO5" s="75">
        <v>5413</v>
      </c>
      <c r="AP5" s="75">
        <v>5531</v>
      </c>
      <c r="AQ5" s="75">
        <v>5561</v>
      </c>
      <c r="AR5" s="75">
        <v>5610</v>
      </c>
      <c r="AS5" s="75">
        <v>5640</v>
      </c>
      <c r="AT5" s="75">
        <v>5416</v>
      </c>
      <c r="AU5" s="75">
        <v>5234</v>
      </c>
      <c r="AV5" s="75">
        <v>5810</v>
      </c>
      <c r="AW5" s="75">
        <v>5560</v>
      </c>
      <c r="AX5" s="75">
        <v>5270</v>
      </c>
      <c r="AY5" s="75">
        <v>5365</v>
      </c>
      <c r="AZ5" s="75">
        <v>5454</v>
      </c>
      <c r="BA5" s="75">
        <v>4336</v>
      </c>
    </row>
    <row r="6" spans="1:54" s="47" customFormat="1" x14ac:dyDescent="0.2">
      <c r="A6" s="76" t="s">
        <v>157</v>
      </c>
      <c r="B6" s="75">
        <v>12582</v>
      </c>
      <c r="C6" s="75">
        <v>11791</v>
      </c>
      <c r="D6" s="75">
        <v>11049</v>
      </c>
      <c r="E6" s="75">
        <v>13019</v>
      </c>
      <c r="F6" s="75">
        <v>13209</v>
      </c>
      <c r="G6" s="75">
        <v>13552</v>
      </c>
      <c r="H6" s="75">
        <v>13026</v>
      </c>
      <c r="I6" s="75">
        <v>13388</v>
      </c>
      <c r="J6" s="75">
        <v>12590</v>
      </c>
      <c r="K6" s="75">
        <v>12756</v>
      </c>
      <c r="L6" s="75">
        <v>12982</v>
      </c>
      <c r="M6" s="75">
        <v>12737</v>
      </c>
      <c r="N6" s="75">
        <v>12274</v>
      </c>
      <c r="O6" s="75">
        <v>12387</v>
      </c>
      <c r="P6" s="75">
        <v>12653</v>
      </c>
      <c r="Q6" s="75">
        <v>12575</v>
      </c>
      <c r="R6" s="75">
        <v>12661</v>
      </c>
      <c r="S6" s="75">
        <v>12333</v>
      </c>
      <c r="T6" s="75">
        <v>13315</v>
      </c>
      <c r="U6" s="75">
        <v>12995</v>
      </c>
      <c r="V6" s="75">
        <v>12114</v>
      </c>
      <c r="W6" s="75">
        <v>11500</v>
      </c>
      <c r="X6" s="75">
        <v>12074</v>
      </c>
      <c r="Y6" s="75">
        <v>12533</v>
      </c>
      <c r="Z6" s="75">
        <v>12213</v>
      </c>
      <c r="AA6" s="75">
        <v>12954</v>
      </c>
      <c r="AB6" s="75">
        <v>12528</v>
      </c>
      <c r="AC6" s="75">
        <v>12378</v>
      </c>
      <c r="AD6" s="75">
        <v>12009</v>
      </c>
      <c r="AE6" s="75">
        <v>11704</v>
      </c>
      <c r="AF6" s="75">
        <v>12660</v>
      </c>
      <c r="AG6" s="75">
        <v>12553</v>
      </c>
      <c r="AH6" s="75">
        <v>12984</v>
      </c>
      <c r="AI6" s="75">
        <v>10242</v>
      </c>
      <c r="AJ6" s="75">
        <v>11919</v>
      </c>
      <c r="AK6" s="75">
        <v>11616</v>
      </c>
      <c r="AL6" s="75">
        <v>11293</v>
      </c>
      <c r="AM6" s="75">
        <v>11750</v>
      </c>
      <c r="AN6" s="75">
        <v>11992</v>
      </c>
      <c r="AO6" s="75">
        <v>12188</v>
      </c>
      <c r="AP6" s="75">
        <v>12632</v>
      </c>
      <c r="AQ6" s="75">
        <v>12210</v>
      </c>
      <c r="AR6" s="75">
        <v>12035</v>
      </c>
      <c r="AS6" s="75">
        <v>12610</v>
      </c>
      <c r="AT6" s="75">
        <v>12896</v>
      </c>
      <c r="AU6" s="75">
        <v>12395</v>
      </c>
      <c r="AV6" s="75">
        <v>12735</v>
      </c>
      <c r="AW6" s="75">
        <v>12782</v>
      </c>
      <c r="AX6" s="75">
        <v>12131</v>
      </c>
      <c r="AY6" s="75">
        <v>12642</v>
      </c>
      <c r="AZ6" s="75">
        <v>12514</v>
      </c>
      <c r="BA6" s="75">
        <v>11450</v>
      </c>
    </row>
    <row r="7" spans="1:54" s="47" customFormat="1" x14ac:dyDescent="0.2">
      <c r="A7" s="76" t="s">
        <v>159</v>
      </c>
      <c r="B7" s="75">
        <v>17450</v>
      </c>
      <c r="C7" s="75">
        <v>19106</v>
      </c>
      <c r="D7" s="75">
        <v>16246</v>
      </c>
      <c r="E7" s="75">
        <v>18033</v>
      </c>
      <c r="F7" s="75">
        <v>17869</v>
      </c>
      <c r="G7" s="75">
        <v>17812</v>
      </c>
      <c r="H7" s="75">
        <v>18992</v>
      </c>
      <c r="I7" s="75">
        <v>20900</v>
      </c>
      <c r="J7" s="75">
        <v>16401</v>
      </c>
      <c r="K7" s="75">
        <v>18839</v>
      </c>
      <c r="L7" s="75">
        <v>20451</v>
      </c>
      <c r="M7" s="75">
        <v>19398</v>
      </c>
      <c r="N7" s="75">
        <v>18903</v>
      </c>
      <c r="O7" s="75">
        <v>19307</v>
      </c>
      <c r="P7" s="75">
        <v>18974</v>
      </c>
      <c r="Q7" s="75">
        <v>20602</v>
      </c>
      <c r="R7" s="75">
        <v>18272</v>
      </c>
      <c r="S7" s="75">
        <v>18873</v>
      </c>
      <c r="T7" s="75">
        <v>20598</v>
      </c>
      <c r="U7" s="75">
        <v>19773</v>
      </c>
      <c r="V7" s="75">
        <v>17783</v>
      </c>
      <c r="W7" s="75">
        <v>19963</v>
      </c>
      <c r="X7" s="75">
        <v>18878</v>
      </c>
      <c r="Y7" s="75">
        <v>18214</v>
      </c>
      <c r="Z7" s="75">
        <v>17455</v>
      </c>
      <c r="AA7" s="75">
        <v>20139</v>
      </c>
      <c r="AB7" s="75">
        <v>21138</v>
      </c>
      <c r="AC7" s="75">
        <v>19319</v>
      </c>
      <c r="AD7" s="75">
        <v>19495</v>
      </c>
      <c r="AE7" s="75">
        <v>18248</v>
      </c>
      <c r="AF7" s="75">
        <v>20340</v>
      </c>
      <c r="AG7" s="75">
        <v>18689</v>
      </c>
      <c r="AH7" s="75">
        <v>15562</v>
      </c>
      <c r="AI7" s="75">
        <v>14613</v>
      </c>
      <c r="AJ7" s="75">
        <v>19511</v>
      </c>
      <c r="AK7" s="75">
        <v>19510</v>
      </c>
      <c r="AL7" s="75">
        <v>17158</v>
      </c>
      <c r="AM7" s="75">
        <v>18234</v>
      </c>
      <c r="AN7" s="75">
        <v>19497</v>
      </c>
      <c r="AO7" s="75">
        <v>19569</v>
      </c>
      <c r="AP7" s="75">
        <v>19934</v>
      </c>
      <c r="AQ7" s="75">
        <v>18177</v>
      </c>
      <c r="AR7" s="75">
        <v>20770</v>
      </c>
      <c r="AS7" s="75">
        <v>19451</v>
      </c>
      <c r="AT7" s="75">
        <v>19068</v>
      </c>
      <c r="AU7" s="75">
        <v>18525</v>
      </c>
      <c r="AV7" s="75">
        <v>18064</v>
      </c>
      <c r="AW7" s="75">
        <v>18430</v>
      </c>
      <c r="AX7" s="75">
        <v>17519</v>
      </c>
      <c r="AY7" s="75">
        <v>17931</v>
      </c>
      <c r="AZ7" s="75">
        <v>18114</v>
      </c>
      <c r="BA7" s="75">
        <v>16757</v>
      </c>
    </row>
    <row r="8" spans="1:54" s="47" customFormat="1" x14ac:dyDescent="0.2">
      <c r="A8" s="76" t="s">
        <v>161</v>
      </c>
      <c r="B8" s="75">
        <v>2687</v>
      </c>
      <c r="C8" s="75">
        <v>2897</v>
      </c>
      <c r="D8" s="75">
        <v>2580</v>
      </c>
      <c r="E8" s="75">
        <v>3894</v>
      </c>
      <c r="F8" s="75">
        <v>4014</v>
      </c>
      <c r="G8" s="75">
        <v>4077</v>
      </c>
      <c r="H8" s="75">
        <v>4017</v>
      </c>
      <c r="I8" s="75">
        <v>4009</v>
      </c>
      <c r="J8" s="75">
        <v>3803</v>
      </c>
      <c r="K8" s="75">
        <v>4110</v>
      </c>
      <c r="L8" s="75">
        <v>4689</v>
      </c>
      <c r="M8" s="75">
        <v>4932</v>
      </c>
      <c r="N8" s="75">
        <v>4116</v>
      </c>
      <c r="O8" s="75">
        <v>4528</v>
      </c>
      <c r="P8" s="75">
        <v>4439</v>
      </c>
      <c r="Q8" s="75">
        <v>4386</v>
      </c>
      <c r="R8" s="75">
        <v>4378</v>
      </c>
      <c r="S8" s="75">
        <v>4560</v>
      </c>
      <c r="T8" s="75">
        <v>4618</v>
      </c>
      <c r="U8" s="75">
        <v>4854</v>
      </c>
      <c r="V8" s="75">
        <v>4497</v>
      </c>
      <c r="W8" s="75">
        <v>4306</v>
      </c>
      <c r="X8" s="75">
        <v>4478</v>
      </c>
      <c r="Y8" s="75">
        <v>4634</v>
      </c>
      <c r="Z8" s="75">
        <v>4407</v>
      </c>
      <c r="AA8" s="75">
        <v>4357</v>
      </c>
      <c r="AB8" s="75">
        <v>3060</v>
      </c>
      <c r="AC8" s="75">
        <v>2956</v>
      </c>
      <c r="AD8" s="75">
        <v>3763</v>
      </c>
      <c r="AE8" s="75">
        <v>3727</v>
      </c>
      <c r="AF8" s="75">
        <v>3833</v>
      </c>
      <c r="AG8" s="75">
        <v>4025</v>
      </c>
      <c r="AH8" s="75">
        <v>4080</v>
      </c>
      <c r="AI8" s="75">
        <v>3395</v>
      </c>
      <c r="AJ8" s="75">
        <v>4138</v>
      </c>
      <c r="AK8" s="75">
        <v>4101</v>
      </c>
      <c r="AL8" s="75">
        <v>4011</v>
      </c>
      <c r="AM8" s="75">
        <v>4468</v>
      </c>
      <c r="AN8" s="75">
        <v>4402</v>
      </c>
      <c r="AO8" s="75">
        <v>4353</v>
      </c>
      <c r="AP8" s="75">
        <v>4243</v>
      </c>
      <c r="AQ8" s="75">
        <v>3817</v>
      </c>
      <c r="AR8" s="75">
        <v>4332</v>
      </c>
      <c r="AS8" s="75">
        <v>3785</v>
      </c>
      <c r="AT8" s="75">
        <v>3683</v>
      </c>
      <c r="AU8" s="75">
        <v>3562</v>
      </c>
      <c r="AV8" s="75">
        <v>3864</v>
      </c>
      <c r="AW8" s="75">
        <v>3603</v>
      </c>
      <c r="AX8" s="75">
        <v>3396</v>
      </c>
      <c r="AY8" s="75">
        <v>3847</v>
      </c>
      <c r="AZ8" s="75">
        <v>3586</v>
      </c>
      <c r="BA8" s="75">
        <v>2805</v>
      </c>
    </row>
    <row r="9" spans="1:54" s="47" customFormat="1" x14ac:dyDescent="0.2">
      <c r="A9" s="76" t="s">
        <v>163</v>
      </c>
      <c r="B9" s="75">
        <v>10297</v>
      </c>
      <c r="C9" s="75">
        <v>8396</v>
      </c>
      <c r="D9" s="75">
        <v>5655</v>
      </c>
      <c r="E9" s="75">
        <v>7932</v>
      </c>
      <c r="F9" s="75">
        <v>8964</v>
      </c>
      <c r="G9" s="75">
        <v>9384</v>
      </c>
      <c r="H9" s="75">
        <v>9308</v>
      </c>
      <c r="I9" s="75">
        <v>8547</v>
      </c>
      <c r="J9" s="75">
        <v>9257</v>
      </c>
      <c r="K9" s="75">
        <v>7596</v>
      </c>
      <c r="L9" s="75">
        <v>9594</v>
      </c>
      <c r="M9" s="75">
        <v>8690</v>
      </c>
      <c r="N9" s="75">
        <v>8466</v>
      </c>
      <c r="O9" s="75">
        <v>9038</v>
      </c>
      <c r="P9" s="75">
        <v>8922</v>
      </c>
      <c r="Q9" s="75">
        <v>8157</v>
      </c>
      <c r="R9" s="75">
        <v>8832</v>
      </c>
      <c r="S9" s="75">
        <v>9382</v>
      </c>
      <c r="T9" s="75">
        <v>9066</v>
      </c>
      <c r="U9" s="75">
        <v>8090</v>
      </c>
      <c r="V9" s="75">
        <v>7627</v>
      </c>
      <c r="W9" s="75">
        <v>9073</v>
      </c>
      <c r="X9" s="75">
        <v>7751</v>
      </c>
      <c r="Y9" s="75">
        <v>9664</v>
      </c>
      <c r="Z9" s="75">
        <v>9395</v>
      </c>
      <c r="AA9" s="75">
        <v>9782</v>
      </c>
      <c r="AB9" s="75">
        <v>9381</v>
      </c>
      <c r="AC9" s="75">
        <v>9432</v>
      </c>
      <c r="AD9" s="75">
        <v>10004</v>
      </c>
      <c r="AE9" s="75">
        <v>7679</v>
      </c>
      <c r="AF9" s="75">
        <v>9071</v>
      </c>
      <c r="AG9" s="75">
        <v>8866</v>
      </c>
      <c r="AH9" s="75">
        <v>8740</v>
      </c>
      <c r="AI9" s="75">
        <v>7252</v>
      </c>
      <c r="AJ9" s="75">
        <v>8510</v>
      </c>
      <c r="AK9" s="75">
        <v>8601</v>
      </c>
      <c r="AL9" s="75">
        <v>9754</v>
      </c>
      <c r="AM9" s="75">
        <v>7776</v>
      </c>
      <c r="AN9" s="75">
        <v>9401</v>
      </c>
      <c r="AO9" s="75">
        <v>9150</v>
      </c>
      <c r="AP9" s="75">
        <v>10223</v>
      </c>
      <c r="AQ9" s="75">
        <v>10008</v>
      </c>
      <c r="AR9" s="75">
        <v>7362</v>
      </c>
      <c r="AS9" s="75">
        <v>9431</v>
      </c>
      <c r="AT9" s="75">
        <v>6287</v>
      </c>
      <c r="AU9" s="75">
        <v>7972</v>
      </c>
      <c r="AV9" s="75">
        <v>8653</v>
      </c>
      <c r="AW9" s="75">
        <v>8114</v>
      </c>
      <c r="AX9" s="75">
        <v>8583</v>
      </c>
      <c r="AY9" s="75">
        <v>9225</v>
      </c>
      <c r="AZ9" s="75">
        <v>9104</v>
      </c>
      <c r="BA9" s="75">
        <v>8038</v>
      </c>
    </row>
    <row r="10" spans="1:54" s="47" customFormat="1" x14ac:dyDescent="0.2">
      <c r="A10" s="77" t="s">
        <v>165</v>
      </c>
      <c r="B10" s="75">
        <v>11516</v>
      </c>
      <c r="C10" s="75">
        <v>12621</v>
      </c>
      <c r="D10" s="75">
        <v>10176</v>
      </c>
      <c r="E10" s="75">
        <v>12348</v>
      </c>
      <c r="F10" s="75">
        <v>13956</v>
      </c>
      <c r="G10" s="75">
        <v>15365</v>
      </c>
      <c r="H10" s="75">
        <v>13754</v>
      </c>
      <c r="I10" s="75">
        <v>15847</v>
      </c>
      <c r="J10" s="75">
        <v>13512</v>
      </c>
      <c r="K10" s="75">
        <v>12929</v>
      </c>
      <c r="L10" s="75">
        <v>13576</v>
      </c>
      <c r="M10" s="75">
        <v>13055</v>
      </c>
      <c r="N10" s="75">
        <v>12426</v>
      </c>
      <c r="O10" s="75">
        <v>15408</v>
      </c>
      <c r="P10" s="75">
        <v>12147</v>
      </c>
      <c r="Q10" s="75">
        <v>13618</v>
      </c>
      <c r="R10" s="75">
        <v>13495</v>
      </c>
      <c r="S10" s="75">
        <v>13162</v>
      </c>
      <c r="T10" s="75">
        <v>13217</v>
      </c>
      <c r="U10" s="75">
        <v>12576</v>
      </c>
      <c r="V10" s="75">
        <v>10329</v>
      </c>
      <c r="W10" s="75">
        <v>10896</v>
      </c>
      <c r="X10" s="75">
        <v>11223</v>
      </c>
      <c r="Y10" s="75">
        <v>11866</v>
      </c>
      <c r="Z10" s="75">
        <v>11411</v>
      </c>
      <c r="AA10" s="75">
        <v>11569</v>
      </c>
      <c r="AB10" s="75">
        <v>12539</v>
      </c>
      <c r="AC10" s="75">
        <v>11356</v>
      </c>
      <c r="AD10" s="75">
        <v>12602</v>
      </c>
      <c r="AE10" s="75">
        <v>10550</v>
      </c>
      <c r="AF10" s="75">
        <v>12067</v>
      </c>
      <c r="AG10" s="75">
        <v>12453</v>
      </c>
      <c r="AH10" s="75">
        <v>11976</v>
      </c>
      <c r="AI10" s="75">
        <v>8720</v>
      </c>
      <c r="AJ10" s="75">
        <v>11534</v>
      </c>
      <c r="AK10" s="75">
        <v>12099</v>
      </c>
      <c r="AL10" s="75">
        <v>14810</v>
      </c>
      <c r="AM10" s="75">
        <v>14664</v>
      </c>
      <c r="AN10" s="75">
        <v>15767</v>
      </c>
      <c r="AO10" s="75">
        <v>15014</v>
      </c>
      <c r="AP10" s="75">
        <v>15993</v>
      </c>
      <c r="AQ10" s="75">
        <v>15040</v>
      </c>
      <c r="AR10" s="75">
        <v>16549</v>
      </c>
      <c r="AS10" s="75">
        <v>16276</v>
      </c>
      <c r="AT10" s="75">
        <v>14391</v>
      </c>
      <c r="AU10" s="75">
        <v>16853</v>
      </c>
      <c r="AV10" s="75">
        <v>15383</v>
      </c>
      <c r="AW10" s="75">
        <v>13819</v>
      </c>
      <c r="AX10" s="75">
        <v>15446</v>
      </c>
      <c r="AY10" s="75">
        <v>13606</v>
      </c>
      <c r="AZ10" s="75">
        <v>13139</v>
      </c>
      <c r="BA10" s="75">
        <v>12126</v>
      </c>
    </row>
    <row r="11" spans="1:54" s="47" customFormat="1" x14ac:dyDescent="0.2">
      <c r="A11" s="76" t="s">
        <v>167</v>
      </c>
      <c r="B11" s="75">
        <v>36384</v>
      </c>
      <c r="C11" s="75">
        <v>38539</v>
      </c>
      <c r="D11" s="75">
        <v>32477</v>
      </c>
      <c r="E11" s="75">
        <v>40049</v>
      </c>
      <c r="F11" s="75">
        <v>42059</v>
      </c>
      <c r="G11" s="75">
        <v>41774</v>
      </c>
      <c r="H11" s="75">
        <v>42122</v>
      </c>
      <c r="I11" s="75">
        <v>40779</v>
      </c>
      <c r="J11" s="75">
        <v>41024</v>
      </c>
      <c r="K11" s="75">
        <v>41511</v>
      </c>
      <c r="L11" s="75">
        <v>42405</v>
      </c>
      <c r="M11" s="75">
        <v>44213</v>
      </c>
      <c r="N11" s="75">
        <v>42528</v>
      </c>
      <c r="O11" s="75">
        <v>44557</v>
      </c>
      <c r="P11" s="75">
        <v>45175</v>
      </c>
      <c r="Q11" s="75">
        <v>46379</v>
      </c>
      <c r="R11" s="75">
        <v>47771</v>
      </c>
      <c r="S11" s="75">
        <v>47746</v>
      </c>
      <c r="T11" s="75">
        <v>47131</v>
      </c>
      <c r="U11" s="75">
        <v>48323</v>
      </c>
      <c r="V11" s="75">
        <v>45531</v>
      </c>
      <c r="W11" s="75">
        <v>45891</v>
      </c>
      <c r="X11" s="75">
        <v>43535</v>
      </c>
      <c r="Y11" s="75">
        <v>48701</v>
      </c>
      <c r="Z11" s="75">
        <v>44353</v>
      </c>
      <c r="AA11" s="75">
        <v>42029</v>
      </c>
      <c r="AB11" s="75">
        <v>41725</v>
      </c>
      <c r="AC11" s="75">
        <v>42477</v>
      </c>
      <c r="AD11" s="75">
        <v>40251</v>
      </c>
      <c r="AE11" s="75">
        <v>36151</v>
      </c>
      <c r="AF11" s="75">
        <v>34897</v>
      </c>
      <c r="AG11" s="75">
        <v>39057</v>
      </c>
      <c r="AH11" s="75">
        <v>38944</v>
      </c>
      <c r="AI11" s="75">
        <v>28655</v>
      </c>
      <c r="AJ11" s="75">
        <v>35325</v>
      </c>
      <c r="AK11" s="75">
        <v>38335</v>
      </c>
      <c r="AL11" s="75">
        <v>40509</v>
      </c>
      <c r="AM11" s="75">
        <v>39602</v>
      </c>
      <c r="AN11" s="75">
        <v>41353</v>
      </c>
      <c r="AO11" s="75">
        <v>39783</v>
      </c>
      <c r="AP11" s="75">
        <v>40789</v>
      </c>
      <c r="AQ11" s="75">
        <v>39035</v>
      </c>
      <c r="AR11" s="75">
        <v>43428</v>
      </c>
      <c r="AS11" s="75">
        <v>41400</v>
      </c>
      <c r="AT11" s="75">
        <v>22208</v>
      </c>
      <c r="AU11" s="75">
        <v>22021</v>
      </c>
      <c r="AV11" s="75">
        <v>42361</v>
      </c>
      <c r="AW11" s="75">
        <v>40506</v>
      </c>
      <c r="AX11" s="75">
        <v>40057</v>
      </c>
      <c r="AY11" s="75">
        <v>40219</v>
      </c>
      <c r="AZ11" s="75">
        <v>39927</v>
      </c>
      <c r="BA11" s="75">
        <v>29371</v>
      </c>
    </row>
    <row r="12" spans="1:54" s="47" customFormat="1" ht="13.5" thickBot="1" x14ac:dyDescent="0.25">
      <c r="A12" s="78" t="s">
        <v>174</v>
      </c>
      <c r="B12" s="23">
        <v>96274</v>
      </c>
      <c r="C12" s="23">
        <v>98890</v>
      </c>
      <c r="D12" s="23">
        <v>83483</v>
      </c>
      <c r="E12" s="23">
        <v>101387</v>
      </c>
      <c r="F12" s="23">
        <v>106159</v>
      </c>
      <c r="G12" s="23">
        <v>108029</v>
      </c>
      <c r="H12" s="23">
        <v>107509</v>
      </c>
      <c r="I12" s="23">
        <v>109822</v>
      </c>
      <c r="J12" s="23">
        <v>102706</v>
      </c>
      <c r="K12" s="23">
        <v>103861</v>
      </c>
      <c r="L12" s="23">
        <v>110083</v>
      </c>
      <c r="M12" s="23">
        <v>109164</v>
      </c>
      <c r="N12" s="23">
        <v>104812</v>
      </c>
      <c r="O12" s="23">
        <v>111291</v>
      </c>
      <c r="P12" s="23">
        <v>108641</v>
      </c>
      <c r="Q12" s="23">
        <v>112010</v>
      </c>
      <c r="R12" s="23">
        <v>111333</v>
      </c>
      <c r="S12" s="23">
        <v>112029</v>
      </c>
      <c r="T12" s="23">
        <v>113896</v>
      </c>
      <c r="U12" s="23">
        <v>112757</v>
      </c>
      <c r="V12" s="23">
        <v>103554</v>
      </c>
      <c r="W12" s="23">
        <v>107482</v>
      </c>
      <c r="X12" s="23">
        <v>103785</v>
      </c>
      <c r="Y12" s="23">
        <v>111296</v>
      </c>
      <c r="Z12" s="23">
        <v>104907</v>
      </c>
      <c r="AA12" s="23">
        <v>106536</v>
      </c>
      <c r="AB12" s="23">
        <v>105852</v>
      </c>
      <c r="AC12" s="23">
        <v>103775</v>
      </c>
      <c r="AD12" s="23">
        <v>103915</v>
      </c>
      <c r="AE12" s="23">
        <v>93446</v>
      </c>
      <c r="AF12" s="23">
        <v>98346</v>
      </c>
      <c r="AG12" s="23">
        <v>101361</v>
      </c>
      <c r="AH12" s="23">
        <v>98174</v>
      </c>
      <c r="AI12" s="23">
        <v>77570</v>
      </c>
      <c r="AJ12" s="23">
        <v>96150</v>
      </c>
      <c r="AK12" s="23">
        <v>99803</v>
      </c>
      <c r="AL12" s="23">
        <v>102905</v>
      </c>
      <c r="AM12" s="23">
        <v>102238</v>
      </c>
      <c r="AN12" s="23">
        <v>108001</v>
      </c>
      <c r="AO12" s="23">
        <v>105470</v>
      </c>
      <c r="AP12" s="23">
        <v>109345</v>
      </c>
      <c r="AQ12" s="23">
        <v>103848</v>
      </c>
      <c r="AR12" s="23">
        <v>110086</v>
      </c>
      <c r="AS12" s="23">
        <v>108593</v>
      </c>
      <c r="AT12" s="23">
        <v>83949</v>
      </c>
      <c r="AU12" s="23">
        <v>86562</v>
      </c>
      <c r="AV12" s="23">
        <v>106870</v>
      </c>
      <c r="AW12" s="23">
        <v>102814</v>
      </c>
      <c r="AX12" s="23">
        <v>102402</v>
      </c>
      <c r="AY12" s="23">
        <v>102835</v>
      </c>
      <c r="AZ12" s="23">
        <v>101838</v>
      </c>
      <c r="BA12" s="23">
        <v>84883</v>
      </c>
    </row>
    <row r="13" spans="1:54" s="47" customFormat="1" ht="13.5" thickTop="1" x14ac:dyDescent="0.2">
      <c r="A13" s="76"/>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row>
    <row r="14" spans="1:54" s="47" customFormat="1" x14ac:dyDescent="0.2">
      <c r="A14" s="73" t="s">
        <v>175</v>
      </c>
    </row>
    <row r="15" spans="1:54" s="47" customFormat="1" x14ac:dyDescent="0.2">
      <c r="A15" s="74" t="s">
        <v>155</v>
      </c>
      <c r="B15" s="75">
        <v>382.683311</v>
      </c>
      <c r="C15" s="75">
        <v>411.243494</v>
      </c>
      <c r="D15" s="75">
        <v>395.64064100000002</v>
      </c>
      <c r="E15" s="75">
        <v>441.34100899999999</v>
      </c>
      <c r="F15" s="75">
        <v>435.04525000000001</v>
      </c>
      <c r="G15" s="75">
        <v>437.15860700000002</v>
      </c>
      <c r="H15" s="75">
        <v>474.13445000000002</v>
      </c>
      <c r="I15" s="75">
        <v>472.66380900000001</v>
      </c>
      <c r="J15" s="75">
        <v>445.84954399999998</v>
      </c>
      <c r="K15" s="75">
        <v>464.899541</v>
      </c>
      <c r="L15" s="75">
        <v>492.48873800000001</v>
      </c>
      <c r="M15" s="75">
        <v>449.94830400000001</v>
      </c>
      <c r="N15" s="75">
        <v>462.57709399999999</v>
      </c>
      <c r="O15" s="75">
        <v>448.92158699999999</v>
      </c>
      <c r="P15" s="75">
        <v>479.855726</v>
      </c>
      <c r="Q15" s="75">
        <v>466.76651600000002</v>
      </c>
      <c r="R15" s="75">
        <v>432.52366599999999</v>
      </c>
      <c r="S15" s="75">
        <v>437.05608100000001</v>
      </c>
      <c r="T15" s="75">
        <v>468.43502999999998</v>
      </c>
      <c r="U15" s="75">
        <v>473.15153099999998</v>
      </c>
      <c r="V15" s="75">
        <v>425.25603100000001</v>
      </c>
      <c r="W15" s="75">
        <v>429.16437500000001</v>
      </c>
      <c r="X15" s="75">
        <v>427.53929099999999</v>
      </c>
      <c r="Y15" s="75">
        <v>434.57279199999999</v>
      </c>
      <c r="Z15" s="75">
        <v>411.32436300000001</v>
      </c>
      <c r="AA15" s="75">
        <v>413.00203800000003</v>
      </c>
      <c r="AB15" s="75">
        <v>383.951571</v>
      </c>
      <c r="AC15" s="75">
        <v>421.595054</v>
      </c>
      <c r="AD15" s="75">
        <v>430.08883400000002</v>
      </c>
      <c r="AE15" s="75">
        <v>378.531429</v>
      </c>
      <c r="AF15" s="75">
        <v>411.439482</v>
      </c>
      <c r="AG15" s="75">
        <v>424.02806199999998</v>
      </c>
      <c r="AH15" s="75">
        <v>448.371287</v>
      </c>
      <c r="AI15" s="75">
        <v>335.07634000000002</v>
      </c>
      <c r="AJ15" s="75">
        <v>389.53436799999997</v>
      </c>
      <c r="AK15" s="75">
        <v>393.95220599999999</v>
      </c>
      <c r="AL15" s="75">
        <v>401.38331099999999</v>
      </c>
      <c r="AM15" s="75">
        <v>429.61570899999998</v>
      </c>
      <c r="AN15" s="75">
        <v>425.78602699999999</v>
      </c>
      <c r="AO15" s="75">
        <v>392.67612000000003</v>
      </c>
      <c r="AP15" s="75">
        <v>424.67053600000003</v>
      </c>
      <c r="AQ15" s="75">
        <v>416.78815900000001</v>
      </c>
      <c r="AR15" s="75">
        <v>425.316011</v>
      </c>
      <c r="AS15" s="75">
        <v>422.61518599999999</v>
      </c>
      <c r="AT15" s="75">
        <v>431.07941099999999</v>
      </c>
      <c r="AU15" s="75">
        <v>393.15463399999999</v>
      </c>
      <c r="AV15" s="75">
        <v>440.79726099999999</v>
      </c>
      <c r="AW15" s="75">
        <v>412.88607200000001</v>
      </c>
      <c r="AX15" s="75">
        <v>387.04853500000002</v>
      </c>
      <c r="AY15" s="75">
        <v>372.48242499999998</v>
      </c>
      <c r="AZ15" s="75">
        <v>381.77231499999999</v>
      </c>
      <c r="BA15" s="75">
        <v>300.33229</v>
      </c>
    </row>
    <row r="16" spans="1:54" s="47" customFormat="1" x14ac:dyDescent="0.2">
      <c r="A16" s="76" t="s">
        <v>157</v>
      </c>
      <c r="B16" s="75">
        <v>929.03476499999999</v>
      </c>
      <c r="C16" s="75">
        <v>797.01472000000001</v>
      </c>
      <c r="D16" s="75">
        <v>782.26911800000005</v>
      </c>
      <c r="E16" s="75">
        <v>952.18820300000004</v>
      </c>
      <c r="F16" s="75">
        <v>963.60673299999996</v>
      </c>
      <c r="G16" s="75">
        <v>973.32883300000003</v>
      </c>
      <c r="H16" s="75">
        <v>937.48103100000003</v>
      </c>
      <c r="I16" s="75">
        <v>947.71999000000005</v>
      </c>
      <c r="J16" s="75">
        <v>902.32816800000001</v>
      </c>
      <c r="K16" s="75">
        <v>877.45966099999998</v>
      </c>
      <c r="L16" s="75">
        <v>883.17675499999996</v>
      </c>
      <c r="M16" s="75">
        <v>882.49207699999999</v>
      </c>
      <c r="N16" s="75">
        <v>858.11595699999998</v>
      </c>
      <c r="O16" s="75">
        <v>924.264591</v>
      </c>
      <c r="P16" s="75">
        <v>915.01673600000004</v>
      </c>
      <c r="Q16" s="75">
        <v>909.53954399999998</v>
      </c>
      <c r="R16" s="75">
        <v>958.96485099999995</v>
      </c>
      <c r="S16" s="75">
        <v>895.51400100000001</v>
      </c>
      <c r="T16" s="75">
        <v>961.06531600000005</v>
      </c>
      <c r="U16" s="75">
        <v>939.98229800000001</v>
      </c>
      <c r="V16" s="75">
        <v>867.05403999999999</v>
      </c>
      <c r="W16" s="75">
        <v>783.65950199999997</v>
      </c>
      <c r="X16" s="75">
        <v>876.25199099999998</v>
      </c>
      <c r="Y16" s="75">
        <v>884.46635300000003</v>
      </c>
      <c r="Z16" s="75">
        <v>827.82538299999999</v>
      </c>
      <c r="AA16" s="75">
        <v>961.01767400000006</v>
      </c>
      <c r="AB16" s="75">
        <v>867.55111099999999</v>
      </c>
      <c r="AC16" s="75">
        <v>895.457086</v>
      </c>
      <c r="AD16" s="75">
        <v>852.48649499999999</v>
      </c>
      <c r="AE16" s="75">
        <v>829.702808</v>
      </c>
      <c r="AF16" s="75">
        <v>921.33457799999996</v>
      </c>
      <c r="AG16" s="75">
        <v>903.15429700000004</v>
      </c>
      <c r="AH16" s="75">
        <v>952.98530400000004</v>
      </c>
      <c r="AI16" s="75">
        <v>706.45891800000004</v>
      </c>
      <c r="AJ16" s="75">
        <v>879.91801599999997</v>
      </c>
      <c r="AK16" s="75">
        <v>815.66281400000003</v>
      </c>
      <c r="AL16" s="75">
        <v>822.58857</v>
      </c>
      <c r="AM16" s="75">
        <v>873.63166000000001</v>
      </c>
      <c r="AN16" s="75">
        <v>882.34141699999998</v>
      </c>
      <c r="AO16" s="75">
        <v>887.95437200000003</v>
      </c>
      <c r="AP16" s="75">
        <v>959.59950400000002</v>
      </c>
      <c r="AQ16" s="75">
        <v>873.02141200000005</v>
      </c>
      <c r="AR16" s="75">
        <v>878.57435399999997</v>
      </c>
      <c r="AS16" s="75">
        <v>906.60744299999999</v>
      </c>
      <c r="AT16" s="75">
        <v>897.22678299999995</v>
      </c>
      <c r="AU16" s="75">
        <v>900.01900699999999</v>
      </c>
      <c r="AV16" s="75">
        <v>941.736717</v>
      </c>
      <c r="AW16" s="75">
        <v>940.52788599999997</v>
      </c>
      <c r="AX16" s="75">
        <v>853.02172900000005</v>
      </c>
      <c r="AY16" s="75">
        <v>906.480684</v>
      </c>
      <c r="AZ16" s="75">
        <v>866.13579100000004</v>
      </c>
      <c r="BA16" s="75">
        <v>866.01650299999994</v>
      </c>
    </row>
    <row r="17" spans="1:53" s="47" customFormat="1" x14ac:dyDescent="0.2">
      <c r="A17" s="76" t="s">
        <v>159</v>
      </c>
      <c r="B17" s="75">
        <v>376.11375500000003</v>
      </c>
      <c r="C17" s="75">
        <v>568.96275800000001</v>
      </c>
      <c r="D17" s="75">
        <v>402.09397100000001</v>
      </c>
      <c r="E17" s="75">
        <v>548.17622900000003</v>
      </c>
      <c r="F17" s="75">
        <v>575.67076899999995</v>
      </c>
      <c r="G17" s="75">
        <v>580.43109600000003</v>
      </c>
      <c r="H17" s="75">
        <v>632.09177</v>
      </c>
      <c r="I17" s="75">
        <v>621.95108400000004</v>
      </c>
      <c r="J17" s="75">
        <v>598.77639299999998</v>
      </c>
      <c r="K17" s="75">
        <v>570.15315899999996</v>
      </c>
      <c r="L17" s="75">
        <v>616.46194500000001</v>
      </c>
      <c r="M17" s="75">
        <v>640.26952900000003</v>
      </c>
      <c r="N17" s="75">
        <v>627.79621999999995</v>
      </c>
      <c r="O17" s="75">
        <v>507.66684500000002</v>
      </c>
      <c r="P17" s="75">
        <v>622.653143</v>
      </c>
      <c r="Q17" s="75">
        <v>582.22220200000004</v>
      </c>
      <c r="R17" s="75">
        <v>580.18517199999997</v>
      </c>
      <c r="S17" s="75">
        <v>524.87520500000005</v>
      </c>
      <c r="T17" s="75">
        <v>599.87053300000002</v>
      </c>
      <c r="U17" s="75">
        <v>641.10987799999998</v>
      </c>
      <c r="V17" s="75">
        <v>472.15919200000002</v>
      </c>
      <c r="W17" s="75">
        <v>534.56419600000004</v>
      </c>
      <c r="X17" s="75">
        <v>640.87312799999995</v>
      </c>
      <c r="Y17" s="75">
        <v>566.32100200000002</v>
      </c>
      <c r="Z17" s="75">
        <v>567.06766600000003</v>
      </c>
      <c r="AA17" s="75">
        <v>664.18505400000004</v>
      </c>
      <c r="AB17" s="75">
        <v>656.16408300000001</v>
      </c>
      <c r="AC17" s="75">
        <v>513.15248899999995</v>
      </c>
      <c r="AD17" s="75">
        <v>617.48167999999998</v>
      </c>
      <c r="AE17" s="75">
        <v>614.00238400000001</v>
      </c>
      <c r="AF17" s="75">
        <v>659.46664699999997</v>
      </c>
      <c r="AG17" s="75">
        <v>641.52587300000005</v>
      </c>
      <c r="AH17" s="75">
        <v>646.69913299999996</v>
      </c>
      <c r="AI17" s="75">
        <v>322.986062</v>
      </c>
      <c r="AJ17" s="75">
        <v>551.62663499999996</v>
      </c>
      <c r="AK17" s="75">
        <v>588.55909799999995</v>
      </c>
      <c r="AL17" s="75">
        <v>457.231604</v>
      </c>
      <c r="AM17" s="75">
        <v>494.07249899999999</v>
      </c>
      <c r="AN17" s="75">
        <v>476.75985400000002</v>
      </c>
      <c r="AO17" s="75">
        <v>540.83302100000003</v>
      </c>
      <c r="AP17" s="75">
        <v>426.39760100000001</v>
      </c>
      <c r="AQ17" s="75">
        <v>518.38498000000004</v>
      </c>
      <c r="AR17" s="75">
        <v>525.92843200000004</v>
      </c>
      <c r="AS17" s="75">
        <v>567.97931800000003</v>
      </c>
      <c r="AT17" s="75">
        <v>448.772918</v>
      </c>
      <c r="AU17" s="75">
        <v>472.25139100000001</v>
      </c>
      <c r="AV17" s="75">
        <v>537.12163299999997</v>
      </c>
      <c r="AW17" s="75">
        <v>548.375766</v>
      </c>
      <c r="AX17" s="75">
        <v>465.55591800000002</v>
      </c>
      <c r="AY17" s="75">
        <v>516.35638200000005</v>
      </c>
      <c r="AZ17" s="75">
        <v>526.668634</v>
      </c>
      <c r="BA17" s="75">
        <v>432.66346499999997</v>
      </c>
    </row>
    <row r="18" spans="1:53" s="47" customFormat="1" x14ac:dyDescent="0.2">
      <c r="A18" s="76" t="s">
        <v>161</v>
      </c>
      <c r="B18" s="75">
        <v>47.517266999999997</v>
      </c>
      <c r="C18" s="75">
        <v>46.863571999999998</v>
      </c>
      <c r="D18" s="75">
        <v>39.851851000000003</v>
      </c>
      <c r="E18" s="75">
        <v>56.533883000000003</v>
      </c>
      <c r="F18" s="75">
        <v>56.812646000000001</v>
      </c>
      <c r="G18" s="75">
        <v>57.217233</v>
      </c>
      <c r="H18" s="75">
        <v>57.584921999999999</v>
      </c>
      <c r="I18" s="75">
        <v>59.419797000000003</v>
      </c>
      <c r="J18" s="75">
        <v>51.623075</v>
      </c>
      <c r="K18" s="75">
        <v>61.761665999999998</v>
      </c>
      <c r="L18" s="75">
        <v>63.479092999999999</v>
      </c>
      <c r="M18" s="75">
        <v>67.464927000000003</v>
      </c>
      <c r="N18" s="75">
        <v>50.033371000000002</v>
      </c>
      <c r="O18" s="75">
        <v>65.542045000000002</v>
      </c>
      <c r="P18" s="75">
        <v>66.999771999999993</v>
      </c>
      <c r="Q18" s="75">
        <v>62.842471000000003</v>
      </c>
      <c r="R18" s="75">
        <v>59.659866999999998</v>
      </c>
      <c r="S18" s="75">
        <v>58.891680999999998</v>
      </c>
      <c r="T18" s="75">
        <v>63.670783999999998</v>
      </c>
      <c r="U18" s="75">
        <v>73.363805999999997</v>
      </c>
      <c r="V18" s="75">
        <v>64.714905999999999</v>
      </c>
      <c r="W18" s="75">
        <v>62.198132000000001</v>
      </c>
      <c r="X18" s="75">
        <v>70.730726000000004</v>
      </c>
      <c r="Y18" s="75">
        <v>76.783170999999996</v>
      </c>
      <c r="Z18" s="75">
        <v>76.884073999999998</v>
      </c>
      <c r="AA18" s="75">
        <v>72.687977000000004</v>
      </c>
      <c r="AB18" s="75">
        <v>58.066312000000003</v>
      </c>
      <c r="AC18" s="75">
        <v>53.704225000000001</v>
      </c>
      <c r="AD18" s="75">
        <v>58.262838000000002</v>
      </c>
      <c r="AE18" s="75">
        <v>55.382570999999999</v>
      </c>
      <c r="AF18" s="75">
        <v>61.255878000000003</v>
      </c>
      <c r="AG18" s="75">
        <v>57.705795999999999</v>
      </c>
      <c r="AH18" s="75">
        <v>72.154160000000005</v>
      </c>
      <c r="AI18" s="75">
        <v>44.140965999999999</v>
      </c>
      <c r="AJ18" s="75">
        <v>60.741216999999999</v>
      </c>
      <c r="AK18" s="75">
        <v>67.888486999999998</v>
      </c>
      <c r="AL18" s="75">
        <v>63.550753999999998</v>
      </c>
      <c r="AM18" s="75">
        <v>62.361517999999997</v>
      </c>
      <c r="AN18" s="75">
        <v>62.470846999999999</v>
      </c>
      <c r="AO18" s="75">
        <v>67.444363999999993</v>
      </c>
      <c r="AP18" s="75">
        <v>69.156154999999998</v>
      </c>
      <c r="AQ18" s="75">
        <v>54.136634000000001</v>
      </c>
      <c r="AR18" s="75">
        <v>66.318658999999997</v>
      </c>
      <c r="AS18" s="75">
        <v>54.613990999999999</v>
      </c>
      <c r="AT18" s="75">
        <v>53.737564999999996</v>
      </c>
      <c r="AU18" s="75">
        <v>45.12567</v>
      </c>
      <c r="AV18" s="75">
        <v>58.904367000000001</v>
      </c>
      <c r="AW18" s="75">
        <v>59.588512000000001</v>
      </c>
      <c r="AX18" s="75">
        <v>51.049840000000003</v>
      </c>
      <c r="AY18" s="75">
        <v>62.586969000000003</v>
      </c>
      <c r="AZ18" s="75">
        <v>55.511015</v>
      </c>
      <c r="BA18" s="75">
        <v>42.768452000000003</v>
      </c>
    </row>
    <row r="19" spans="1:53" s="47" customFormat="1" x14ac:dyDescent="0.2">
      <c r="A19" s="76" t="s">
        <v>163</v>
      </c>
      <c r="B19" s="75">
        <v>418.15840200000002</v>
      </c>
      <c r="C19" s="75">
        <v>371.12378000000001</v>
      </c>
      <c r="D19" s="75">
        <v>229.96909099999999</v>
      </c>
      <c r="E19" s="75">
        <v>317.2758</v>
      </c>
      <c r="F19" s="75">
        <v>379.27885300000003</v>
      </c>
      <c r="G19" s="75">
        <v>359.95370200000002</v>
      </c>
      <c r="H19" s="75">
        <v>371.83031</v>
      </c>
      <c r="I19" s="75">
        <v>327.234938</v>
      </c>
      <c r="J19" s="75">
        <v>381.87694299999998</v>
      </c>
      <c r="K19" s="75">
        <v>342.59989000000002</v>
      </c>
      <c r="L19" s="75">
        <v>389.92883399999999</v>
      </c>
      <c r="M19" s="75">
        <v>366.45326399999999</v>
      </c>
      <c r="N19" s="75">
        <v>376.44401800000003</v>
      </c>
      <c r="O19" s="75">
        <v>419.35392100000001</v>
      </c>
      <c r="P19" s="75">
        <v>425.82050800000002</v>
      </c>
      <c r="Q19" s="75">
        <v>416.86198000000002</v>
      </c>
      <c r="R19" s="75">
        <v>411.595395</v>
      </c>
      <c r="S19" s="75">
        <v>431.96934599999997</v>
      </c>
      <c r="T19" s="75">
        <v>437.38442700000002</v>
      </c>
      <c r="U19" s="75">
        <v>419.00699700000001</v>
      </c>
      <c r="V19" s="75">
        <v>366.36616500000002</v>
      </c>
      <c r="W19" s="75">
        <v>393.15206699999999</v>
      </c>
      <c r="X19" s="75">
        <v>331.97436800000003</v>
      </c>
      <c r="Y19" s="75">
        <v>413.39020900000003</v>
      </c>
      <c r="Z19" s="75">
        <v>440.08693599999998</v>
      </c>
      <c r="AA19" s="75">
        <v>409.32937700000002</v>
      </c>
      <c r="AB19" s="75">
        <v>404.30506000000003</v>
      </c>
      <c r="AC19" s="75">
        <v>376.84693900000002</v>
      </c>
      <c r="AD19" s="75">
        <v>461.69304</v>
      </c>
      <c r="AE19" s="75">
        <v>279.95686699999999</v>
      </c>
      <c r="AF19" s="75">
        <v>373.11177199999997</v>
      </c>
      <c r="AG19" s="75">
        <v>400.56517200000002</v>
      </c>
      <c r="AH19" s="75">
        <v>361.51413500000001</v>
      </c>
      <c r="AI19" s="75">
        <v>307.258758</v>
      </c>
      <c r="AJ19" s="75">
        <v>358.85806100000002</v>
      </c>
      <c r="AK19" s="75">
        <v>372.55973999999998</v>
      </c>
      <c r="AL19" s="75">
        <v>412.64811700000001</v>
      </c>
      <c r="AM19" s="75">
        <v>331.52549399999998</v>
      </c>
      <c r="AN19" s="75">
        <v>417.78583500000002</v>
      </c>
      <c r="AO19" s="75">
        <v>413.124684</v>
      </c>
      <c r="AP19" s="75">
        <v>434.34698100000003</v>
      </c>
      <c r="AQ19" s="75">
        <v>433.41499299999998</v>
      </c>
      <c r="AR19" s="75">
        <v>307.05569000000003</v>
      </c>
      <c r="AS19" s="75">
        <v>448.29873400000002</v>
      </c>
      <c r="AT19" s="75">
        <v>355.958324</v>
      </c>
      <c r="AU19" s="75">
        <v>425.83454</v>
      </c>
      <c r="AV19" s="75">
        <v>406.99744399999997</v>
      </c>
      <c r="AW19" s="75">
        <v>378.88310100000001</v>
      </c>
      <c r="AX19" s="75">
        <v>388.33762999999999</v>
      </c>
      <c r="AY19" s="75">
        <v>460.10859399999998</v>
      </c>
      <c r="AZ19" s="75">
        <v>426.43104499999998</v>
      </c>
      <c r="BA19" s="75">
        <v>373.85473100000002</v>
      </c>
    </row>
    <row r="20" spans="1:53" s="47" customFormat="1" x14ac:dyDescent="0.2">
      <c r="A20" s="77" t="s">
        <v>165</v>
      </c>
      <c r="B20" s="75">
        <v>1130.558683</v>
      </c>
      <c r="C20" s="75">
        <v>1226.6599679999999</v>
      </c>
      <c r="D20" s="75">
        <v>1070.25217</v>
      </c>
      <c r="E20" s="75">
        <v>1271.499867</v>
      </c>
      <c r="F20" s="75">
        <v>1404.9841039999999</v>
      </c>
      <c r="G20" s="75">
        <v>1562.604748</v>
      </c>
      <c r="H20" s="75">
        <v>1396.0078759999999</v>
      </c>
      <c r="I20" s="75">
        <v>1609.6643590000001</v>
      </c>
      <c r="J20" s="75">
        <v>1257.9603010000001</v>
      </c>
      <c r="K20" s="75">
        <v>1209.475496</v>
      </c>
      <c r="L20" s="75">
        <v>1430.9431979999999</v>
      </c>
      <c r="M20" s="75">
        <v>1300.1715079999999</v>
      </c>
      <c r="N20" s="75">
        <v>1161.207527</v>
      </c>
      <c r="O20" s="75">
        <v>1520.259589</v>
      </c>
      <c r="P20" s="75">
        <v>1087.7460940000001</v>
      </c>
      <c r="Q20" s="75">
        <v>1266.0550499999999</v>
      </c>
      <c r="R20" s="75">
        <v>1233.8073380000001</v>
      </c>
      <c r="S20" s="75">
        <v>1228.3774980000001</v>
      </c>
      <c r="T20" s="75">
        <v>1204.2712320000001</v>
      </c>
      <c r="U20" s="75">
        <v>1124.2792099999999</v>
      </c>
      <c r="V20" s="75">
        <v>846.41466100000002</v>
      </c>
      <c r="W20" s="75">
        <v>925.26028399999996</v>
      </c>
      <c r="X20" s="75">
        <v>976.49057000000005</v>
      </c>
      <c r="Y20" s="75">
        <v>1045.092179</v>
      </c>
      <c r="Z20" s="75">
        <v>1000.6794</v>
      </c>
      <c r="AA20" s="75">
        <v>1074.925176</v>
      </c>
      <c r="AB20" s="75">
        <v>1181.8572489999999</v>
      </c>
      <c r="AC20" s="75">
        <v>1062.910697</v>
      </c>
      <c r="AD20" s="75">
        <v>1273.451059</v>
      </c>
      <c r="AE20" s="75">
        <v>950.05083000000002</v>
      </c>
      <c r="AF20" s="75">
        <v>1132.3510699999999</v>
      </c>
      <c r="AG20" s="75">
        <v>1075.235312</v>
      </c>
      <c r="AH20" s="75">
        <v>1133.5927830000001</v>
      </c>
      <c r="AI20" s="75">
        <v>740.062726</v>
      </c>
      <c r="AJ20" s="75">
        <v>1047.2509520000001</v>
      </c>
      <c r="AK20" s="75">
        <v>1156.000217</v>
      </c>
      <c r="AL20" s="75">
        <v>1398.195183</v>
      </c>
      <c r="AM20" s="75">
        <v>1345.5373850000001</v>
      </c>
      <c r="AN20" s="75">
        <v>1448.3328300000001</v>
      </c>
      <c r="AO20" s="75">
        <v>1332.234823</v>
      </c>
      <c r="AP20" s="75">
        <v>1497.735197</v>
      </c>
      <c r="AQ20" s="75">
        <v>1344.6694</v>
      </c>
      <c r="AR20" s="75">
        <v>1544.855894</v>
      </c>
      <c r="AS20" s="75">
        <v>1491.724397</v>
      </c>
      <c r="AT20" s="75">
        <v>1292.6901849999999</v>
      </c>
      <c r="AU20" s="75">
        <v>1625.589162</v>
      </c>
      <c r="AV20" s="75">
        <v>1445.379508</v>
      </c>
      <c r="AW20" s="75">
        <v>1271.911754</v>
      </c>
      <c r="AX20" s="75">
        <v>1388.276445</v>
      </c>
      <c r="AY20" s="75">
        <v>1208.5837059999999</v>
      </c>
      <c r="AZ20" s="75">
        <v>1154.040964</v>
      </c>
      <c r="BA20" s="75">
        <v>1142.8412000000001</v>
      </c>
    </row>
    <row r="21" spans="1:53" s="47" customFormat="1" x14ac:dyDescent="0.2">
      <c r="A21" s="76" t="s">
        <v>167</v>
      </c>
      <c r="B21" s="75">
        <v>806.811958</v>
      </c>
      <c r="C21" s="75">
        <v>885.46785799999998</v>
      </c>
      <c r="D21" s="75">
        <v>810.51703299999997</v>
      </c>
      <c r="E21" s="75">
        <v>927.77234299999998</v>
      </c>
      <c r="F21" s="75">
        <v>1019.084356</v>
      </c>
      <c r="G21" s="75">
        <v>982.83891600000004</v>
      </c>
      <c r="H21" s="75">
        <v>989.68533300000001</v>
      </c>
      <c r="I21" s="75">
        <v>1019.962046</v>
      </c>
      <c r="J21" s="75">
        <v>998.43278899999996</v>
      </c>
      <c r="K21" s="75">
        <v>1015.4275699999999</v>
      </c>
      <c r="L21" s="75">
        <v>983.77560200000005</v>
      </c>
      <c r="M21" s="75">
        <v>1048.762563</v>
      </c>
      <c r="N21" s="75">
        <v>1031.326088</v>
      </c>
      <c r="O21" s="75">
        <v>1061.772528</v>
      </c>
      <c r="P21" s="75">
        <v>1116.5547759999999</v>
      </c>
      <c r="Q21" s="75">
        <v>1137.121359</v>
      </c>
      <c r="R21" s="75">
        <v>1170.4094789999999</v>
      </c>
      <c r="S21" s="75">
        <v>1164.0974289999999</v>
      </c>
      <c r="T21" s="75">
        <v>1129.892636</v>
      </c>
      <c r="U21" s="75">
        <v>1083.8981650000001</v>
      </c>
      <c r="V21" s="75">
        <v>1071.9282740000001</v>
      </c>
      <c r="W21" s="75">
        <v>1063.907545</v>
      </c>
      <c r="X21" s="75">
        <v>1044.940398</v>
      </c>
      <c r="Y21" s="75">
        <v>1147.4865970000001</v>
      </c>
      <c r="Z21" s="75">
        <v>1025.0984249999999</v>
      </c>
      <c r="AA21" s="75">
        <v>982.654223</v>
      </c>
      <c r="AB21" s="75">
        <v>952.53059299999995</v>
      </c>
      <c r="AC21" s="75">
        <v>1015.210502</v>
      </c>
      <c r="AD21" s="75">
        <v>927.79157999999995</v>
      </c>
      <c r="AE21" s="75">
        <v>809.81867999999997</v>
      </c>
      <c r="AF21" s="75">
        <v>851.04168600000003</v>
      </c>
      <c r="AG21" s="75">
        <v>889.05551200000002</v>
      </c>
      <c r="AH21" s="75">
        <v>930.01921100000004</v>
      </c>
      <c r="AI21" s="75">
        <v>601.44562599999995</v>
      </c>
      <c r="AJ21" s="75">
        <v>882.71577500000001</v>
      </c>
      <c r="AK21" s="75">
        <v>938.69721900000002</v>
      </c>
      <c r="AL21" s="75">
        <v>980.63744099999997</v>
      </c>
      <c r="AM21" s="75">
        <v>937.20677499999999</v>
      </c>
      <c r="AN21" s="75">
        <v>1013.616399</v>
      </c>
      <c r="AO21" s="75">
        <v>913.54183899999998</v>
      </c>
      <c r="AP21" s="75">
        <v>964.71061399999996</v>
      </c>
      <c r="AQ21" s="75">
        <v>916.38919399999997</v>
      </c>
      <c r="AR21" s="75">
        <v>1012.274053</v>
      </c>
      <c r="AS21" s="75">
        <v>943.69809899999996</v>
      </c>
      <c r="AT21" s="75">
        <v>517.67282999999998</v>
      </c>
      <c r="AU21" s="75">
        <v>527.50095099999999</v>
      </c>
      <c r="AV21" s="75">
        <v>1097.929144</v>
      </c>
      <c r="AW21" s="75">
        <v>966.45231899999999</v>
      </c>
      <c r="AX21" s="75">
        <v>956.36584800000003</v>
      </c>
      <c r="AY21" s="75">
        <v>983.24969899999996</v>
      </c>
      <c r="AZ21" s="75">
        <v>988.63317600000005</v>
      </c>
      <c r="BA21" s="75">
        <v>657.16447100000005</v>
      </c>
    </row>
    <row r="22" spans="1:53" s="47" customFormat="1" ht="13.5" thickBot="1" x14ac:dyDescent="0.25">
      <c r="A22" s="78" t="s">
        <v>176</v>
      </c>
      <c r="B22" s="23">
        <v>4090.8781410000001</v>
      </c>
      <c r="C22" s="23">
        <v>4307.3361500000001</v>
      </c>
      <c r="D22" s="23">
        <v>3730.593875</v>
      </c>
      <c r="E22" s="23">
        <v>4514.7873339999996</v>
      </c>
      <c r="F22" s="23">
        <v>4834.4827110000006</v>
      </c>
      <c r="G22" s="23">
        <v>4953.5331349999997</v>
      </c>
      <c r="H22" s="23">
        <v>4858.8156920000001</v>
      </c>
      <c r="I22" s="23">
        <v>5058.6160229999996</v>
      </c>
      <c r="J22" s="23">
        <v>4636.8472129999991</v>
      </c>
      <c r="K22" s="23">
        <v>4541.7769830000007</v>
      </c>
      <c r="L22" s="23">
        <v>4860.2541649999994</v>
      </c>
      <c r="M22" s="23">
        <v>4755.5621719999999</v>
      </c>
      <c r="N22" s="23">
        <v>4567.5002750000003</v>
      </c>
      <c r="O22" s="23">
        <v>4947.7811060000004</v>
      </c>
      <c r="P22" s="23">
        <v>4714.6467549999998</v>
      </c>
      <c r="Q22" s="23">
        <v>4841.409122</v>
      </c>
      <c r="R22" s="23">
        <v>4847.1457680000003</v>
      </c>
      <c r="S22" s="23">
        <v>4740.7812410000006</v>
      </c>
      <c r="T22" s="23">
        <v>4864.5899580000005</v>
      </c>
      <c r="U22" s="23">
        <v>4754.7918849999987</v>
      </c>
      <c r="V22" s="23">
        <v>4113.8932690000001</v>
      </c>
      <c r="W22" s="23">
        <v>4191.9061010000005</v>
      </c>
      <c r="X22" s="23">
        <v>4368.8004719999999</v>
      </c>
      <c r="Y22" s="23">
        <v>4568.1123029999999</v>
      </c>
      <c r="Z22" s="23">
        <v>4348.9662470000003</v>
      </c>
      <c r="AA22" s="23">
        <v>4577.8015190000006</v>
      </c>
      <c r="AB22" s="23">
        <v>4504.4259789999996</v>
      </c>
      <c r="AC22" s="23">
        <v>4338.8769919999995</v>
      </c>
      <c r="AD22" s="23">
        <v>4621.2555259999999</v>
      </c>
      <c r="AE22" s="23">
        <v>3917.445569</v>
      </c>
      <c r="AF22" s="23">
        <v>4410.0011130000003</v>
      </c>
      <c r="AG22" s="23">
        <v>4391.2700239999995</v>
      </c>
      <c r="AH22" s="23">
        <v>4545.3360130000001</v>
      </c>
      <c r="AI22" s="23">
        <v>3057.4293959999995</v>
      </c>
      <c r="AJ22" s="23">
        <v>4170.6450239999995</v>
      </c>
      <c r="AK22" s="23">
        <v>4333.3197809999992</v>
      </c>
      <c r="AL22" s="23">
        <v>4536.2349800000002</v>
      </c>
      <c r="AM22" s="23">
        <v>4473.9510399999999</v>
      </c>
      <c r="AN22" s="23">
        <v>4727.0932090000006</v>
      </c>
      <c r="AO22" s="23">
        <v>4547.8092230000002</v>
      </c>
      <c r="AP22" s="23">
        <v>4776.6165879999999</v>
      </c>
      <c r="AQ22" s="23">
        <v>4556.8047720000004</v>
      </c>
      <c r="AR22" s="23">
        <v>4760.323093</v>
      </c>
      <c r="AS22" s="23">
        <v>4835.5371679999998</v>
      </c>
      <c r="AT22" s="23">
        <v>3997.1380159999999</v>
      </c>
      <c r="AU22" s="23">
        <v>4389.4753549999996</v>
      </c>
      <c r="AV22" s="23">
        <v>4928.8660739999996</v>
      </c>
      <c r="AW22" s="23">
        <v>4578.6254100000006</v>
      </c>
      <c r="AX22" s="23">
        <v>4489.6559450000004</v>
      </c>
      <c r="AY22" s="23">
        <v>4509.8484589999998</v>
      </c>
      <c r="AZ22" s="23">
        <v>4399.1929399999999</v>
      </c>
      <c r="BA22" s="23">
        <v>3815.6411120000002</v>
      </c>
    </row>
    <row r="23" spans="1:53" s="47" customFormat="1" ht="13.5" thickTop="1" x14ac:dyDescent="0.2"/>
    <row r="24" spans="1:53" s="47" customFormat="1" ht="15" x14ac:dyDescent="0.25">
      <c r="M24" s="130"/>
    </row>
    <row r="25" spans="1:53" s="47" customFormat="1" x14ac:dyDescent="0.2"/>
    <row r="26" spans="1:53" s="47" customFormat="1" x14ac:dyDescent="0.2"/>
    <row r="27" spans="1:53" s="47" customFormat="1" x14ac:dyDescent="0.2"/>
    <row r="28" spans="1:53" s="47" customFormat="1" x14ac:dyDescent="0.2"/>
    <row r="29" spans="1:53" s="47" customFormat="1" x14ac:dyDescent="0.2"/>
    <row r="30" spans="1:53" s="47" customFormat="1" x14ac:dyDescent="0.2"/>
    <row r="31" spans="1:53" s="47" customFormat="1" x14ac:dyDescent="0.2"/>
    <row r="32" spans="1:53" s="47" customFormat="1" x14ac:dyDescent="0.2"/>
    <row r="33" s="47" customFormat="1" x14ac:dyDescent="0.2"/>
    <row r="34" s="47" customFormat="1" x14ac:dyDescent="0.2"/>
    <row r="35" s="47" customFormat="1" x14ac:dyDescent="0.2"/>
    <row r="36" s="47" customFormat="1" x14ac:dyDescent="0.2"/>
    <row r="37" s="47" customFormat="1" x14ac:dyDescent="0.2"/>
    <row r="38" s="47" customFormat="1" x14ac:dyDescent="0.2"/>
    <row r="39" s="47" customFormat="1" x14ac:dyDescent="0.2"/>
    <row r="40" s="47" customFormat="1" x14ac:dyDescent="0.2"/>
    <row r="41" s="47" customFormat="1" x14ac:dyDescent="0.2"/>
    <row r="42" s="47" customFormat="1" x14ac:dyDescent="0.2"/>
    <row r="43" s="47" customFormat="1" x14ac:dyDescent="0.2"/>
    <row r="44" s="47" customFormat="1" x14ac:dyDescent="0.2"/>
    <row r="45" s="47" customFormat="1" x14ac:dyDescent="0.2"/>
    <row r="46" s="47" customFormat="1" x14ac:dyDescent="0.2"/>
    <row r="47" s="47" customFormat="1" x14ac:dyDescent="0.2"/>
    <row r="48" s="47" customFormat="1" x14ac:dyDescent="0.2"/>
    <row r="49" s="47" customFormat="1" x14ac:dyDescent="0.2"/>
    <row r="50" s="47" customFormat="1" x14ac:dyDescent="0.2"/>
    <row r="51" s="47" customFormat="1" x14ac:dyDescent="0.2"/>
    <row r="52" s="47" customFormat="1" x14ac:dyDescent="0.2"/>
    <row r="53" s="47" customFormat="1" x14ac:dyDescent="0.2"/>
    <row r="54" s="47" customFormat="1" x14ac:dyDescent="0.2"/>
  </sheetData>
  <sheetProtection algorithmName="SHA-512" hashValue="3sXayRhe0PYHesVO2ECV+D81aurTuek35jybQDQ0bRUCRVvImf0s1OufRb62HET4ZDHb4EL90MQul6Ts1wwdlg==" saltValue="P0StWMhz0fO26IP9lVNWtw==" spinCount="100000" sheet="1" objects="1" scenarios="1"/>
  <mergeCells count="1">
    <mergeCell ref="A1:BA1"/>
  </mergeCells>
  <pageMargins left="0.17" right="0.17" top="0.17" bottom="0.5" header="0.17" footer="0.5"/>
  <pageSetup scale="70" fitToWidth="0" orientation="landscape" r:id="rId1"/>
  <headerFooter alignWithMargins="0"/>
  <colBreaks count="3" manualBreakCount="3">
    <brk id="14" max="48" man="1"/>
    <brk id="27" max="48" man="1"/>
    <brk id="40" max="48" man="1"/>
  </colBreak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88820-6850-4E78-AAB8-BBA28B5A8C1F}">
  <sheetPr codeName="Sheet18">
    <tabColor rgb="FF92D050"/>
  </sheetPr>
  <dimension ref="A1:BB54"/>
  <sheetViews>
    <sheetView zoomScaleNormal="100" workbookViewId="0">
      <pane xSplit="1" ySplit="3" topLeftCell="B4" activePane="bottomRight" state="frozen"/>
      <selection activeCell="C22" sqref="C22"/>
      <selection pane="topRight" activeCell="C22" sqref="C22"/>
      <selection pane="bottomLeft" activeCell="C22" sqref="C22"/>
      <selection pane="bottomRight" activeCell="C22" sqref="C22"/>
    </sheetView>
  </sheetViews>
  <sheetFormatPr defaultColWidth="6.7109375" defaultRowHeight="12.75" x14ac:dyDescent="0.2"/>
  <cols>
    <col min="1" max="1" width="50.42578125" style="42" bestFit="1" customWidth="1"/>
    <col min="2" max="2" width="9.42578125" style="43" customWidth="1"/>
    <col min="3" max="52" width="9.42578125" style="42" customWidth="1"/>
    <col min="53" max="53" width="9.5703125" style="42" bestFit="1" customWidth="1"/>
    <col min="54" max="16384" width="6.7109375" style="42"/>
  </cols>
  <sheetData>
    <row r="1" spans="1:54" ht="23.25" x14ac:dyDescent="0.35">
      <c r="A1" s="145" t="s">
        <v>225</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c r="AE1" s="145"/>
      <c r="AF1" s="145"/>
      <c r="AG1" s="145"/>
      <c r="AH1" s="145"/>
      <c r="AI1" s="145"/>
      <c r="AJ1" s="145"/>
      <c r="AK1" s="145"/>
      <c r="AL1" s="145"/>
      <c r="AM1" s="145"/>
      <c r="AN1" s="145"/>
      <c r="AO1" s="145"/>
      <c r="AP1" s="145"/>
      <c r="AQ1" s="145"/>
      <c r="AR1" s="145"/>
      <c r="AS1" s="145"/>
      <c r="AT1" s="145"/>
      <c r="AU1" s="145"/>
      <c r="AV1" s="145"/>
      <c r="AW1" s="145"/>
      <c r="AX1" s="145"/>
      <c r="AY1" s="145"/>
      <c r="AZ1" s="145"/>
      <c r="BA1" s="145"/>
    </row>
    <row r="2" spans="1:54" ht="13.5" thickBot="1" x14ac:dyDescent="0.25">
      <c r="A2" s="7" t="s">
        <v>223</v>
      </c>
      <c r="B2" s="5">
        <v>1</v>
      </c>
      <c r="C2" s="5">
        <v>2</v>
      </c>
      <c r="D2" s="5">
        <v>3</v>
      </c>
      <c r="E2" s="5">
        <v>4</v>
      </c>
      <c r="F2" s="5">
        <v>5</v>
      </c>
      <c r="G2" s="5">
        <v>6</v>
      </c>
      <c r="H2" s="5">
        <v>7</v>
      </c>
      <c r="I2" s="5">
        <v>8</v>
      </c>
      <c r="J2" s="5">
        <v>9</v>
      </c>
      <c r="K2" s="5">
        <v>10</v>
      </c>
      <c r="L2" s="5">
        <v>11</v>
      </c>
      <c r="M2" s="5">
        <v>12</v>
      </c>
      <c r="N2" s="5">
        <v>13</v>
      </c>
      <c r="O2" s="5">
        <v>14</v>
      </c>
      <c r="P2" s="5">
        <v>15</v>
      </c>
      <c r="Q2" s="5">
        <v>16</v>
      </c>
      <c r="R2" s="5">
        <v>17</v>
      </c>
      <c r="S2" s="5">
        <v>18</v>
      </c>
      <c r="T2" s="5">
        <v>19</v>
      </c>
      <c r="U2" s="5">
        <v>20</v>
      </c>
      <c r="V2" s="5">
        <v>21</v>
      </c>
      <c r="W2" s="5">
        <v>22</v>
      </c>
      <c r="X2" s="5">
        <v>23</v>
      </c>
      <c r="Y2" s="5">
        <v>24</v>
      </c>
      <c r="Z2" s="5">
        <v>25</v>
      </c>
      <c r="AA2" s="5">
        <v>26</v>
      </c>
      <c r="AB2" s="5">
        <v>27</v>
      </c>
      <c r="AC2" s="5">
        <v>28</v>
      </c>
      <c r="AD2" s="5">
        <v>29</v>
      </c>
      <c r="AE2" s="5">
        <v>30</v>
      </c>
      <c r="AF2" s="5">
        <v>31</v>
      </c>
      <c r="AG2" s="5">
        <v>32</v>
      </c>
      <c r="AH2" s="5">
        <v>33</v>
      </c>
      <c r="AI2" s="5">
        <v>34</v>
      </c>
      <c r="AJ2" s="5">
        <v>35</v>
      </c>
      <c r="AK2" s="5">
        <v>36</v>
      </c>
      <c r="AL2" s="5">
        <v>37</v>
      </c>
      <c r="AM2" s="5">
        <v>38</v>
      </c>
      <c r="AN2" s="5">
        <v>39</v>
      </c>
      <c r="AO2" s="5">
        <v>40</v>
      </c>
      <c r="AP2" s="5">
        <v>41</v>
      </c>
      <c r="AQ2" s="5">
        <v>42</v>
      </c>
      <c r="AR2" s="5">
        <v>43</v>
      </c>
      <c r="AS2" s="5">
        <v>44</v>
      </c>
      <c r="AT2" s="5">
        <v>45</v>
      </c>
      <c r="AU2" s="5">
        <v>46</v>
      </c>
      <c r="AV2" s="5">
        <v>47</v>
      </c>
      <c r="AW2" s="5">
        <v>48</v>
      </c>
      <c r="AX2" s="5">
        <v>49</v>
      </c>
      <c r="AY2" s="5">
        <v>50</v>
      </c>
      <c r="AZ2" s="5">
        <v>51</v>
      </c>
      <c r="BA2" s="5">
        <v>52</v>
      </c>
    </row>
    <row r="3" spans="1:54" s="45" customFormat="1" ht="24.75" thickBot="1" x14ac:dyDescent="0.25">
      <c r="A3" s="50" t="s">
        <v>179</v>
      </c>
      <c r="B3" s="51">
        <v>44927</v>
      </c>
      <c r="C3" s="51">
        <v>44934</v>
      </c>
      <c r="D3" s="51">
        <v>44941</v>
      </c>
      <c r="E3" s="51">
        <v>44948</v>
      </c>
      <c r="F3" s="51">
        <v>44955</v>
      </c>
      <c r="G3" s="51">
        <v>44962</v>
      </c>
      <c r="H3" s="51">
        <v>44969</v>
      </c>
      <c r="I3" s="51">
        <v>44976</v>
      </c>
      <c r="J3" s="51">
        <v>44983</v>
      </c>
      <c r="K3" s="51">
        <v>44990</v>
      </c>
      <c r="L3" s="51">
        <v>44997</v>
      </c>
      <c r="M3" s="51">
        <v>45004</v>
      </c>
      <c r="N3" s="51">
        <v>45011</v>
      </c>
      <c r="O3" s="51">
        <v>45018</v>
      </c>
      <c r="P3" s="51">
        <v>45025</v>
      </c>
      <c r="Q3" s="51">
        <v>45032</v>
      </c>
      <c r="R3" s="51">
        <v>45039</v>
      </c>
      <c r="S3" s="51">
        <v>45046</v>
      </c>
      <c r="T3" s="51">
        <v>45053</v>
      </c>
      <c r="U3" s="51">
        <v>45060</v>
      </c>
      <c r="V3" s="51">
        <v>45067</v>
      </c>
      <c r="W3" s="51">
        <v>45074</v>
      </c>
      <c r="X3" s="51">
        <v>45081</v>
      </c>
      <c r="Y3" s="51">
        <v>45088</v>
      </c>
      <c r="Z3" s="51">
        <v>45095</v>
      </c>
      <c r="AA3" s="51">
        <v>45102</v>
      </c>
      <c r="AB3" s="51">
        <v>45109</v>
      </c>
      <c r="AC3" s="51">
        <v>45116</v>
      </c>
      <c r="AD3" s="51">
        <v>45123</v>
      </c>
      <c r="AE3" s="51">
        <v>45130</v>
      </c>
      <c r="AF3" s="51">
        <v>45137</v>
      </c>
      <c r="AG3" s="51">
        <v>45144</v>
      </c>
      <c r="AH3" s="51">
        <v>45151</v>
      </c>
      <c r="AI3" s="51">
        <v>45158</v>
      </c>
      <c r="AJ3" s="51">
        <v>45165</v>
      </c>
      <c r="AK3" s="51">
        <v>45172</v>
      </c>
      <c r="AL3" s="51">
        <v>45179</v>
      </c>
      <c r="AM3" s="51">
        <v>45186</v>
      </c>
      <c r="AN3" s="51">
        <v>45193</v>
      </c>
      <c r="AO3" s="51">
        <v>45200</v>
      </c>
      <c r="AP3" s="51">
        <v>45207</v>
      </c>
      <c r="AQ3" s="51">
        <v>45214</v>
      </c>
      <c r="AR3" s="51">
        <v>45221</v>
      </c>
      <c r="AS3" s="51">
        <v>45228</v>
      </c>
      <c r="AT3" s="51">
        <v>45235</v>
      </c>
      <c r="AU3" s="51">
        <v>45242</v>
      </c>
      <c r="AV3" s="51">
        <v>45249</v>
      </c>
      <c r="AW3" s="51">
        <v>45256</v>
      </c>
      <c r="AX3" s="51">
        <v>45263</v>
      </c>
      <c r="AY3" s="51">
        <v>45270</v>
      </c>
      <c r="AZ3" s="51">
        <v>45277</v>
      </c>
      <c r="BA3" s="51">
        <v>45284</v>
      </c>
      <c r="BB3" s="52"/>
    </row>
    <row r="4" spans="1:54" s="47" customFormat="1" x14ac:dyDescent="0.2">
      <c r="A4" s="73" t="s">
        <v>173</v>
      </c>
    </row>
    <row r="5" spans="1:54" s="47" customFormat="1" x14ac:dyDescent="0.2">
      <c r="A5" s="74" t="s">
        <v>155</v>
      </c>
      <c r="B5" s="75">
        <v>5654</v>
      </c>
      <c r="C5" s="75">
        <v>6191</v>
      </c>
      <c r="D5" s="75">
        <v>6036</v>
      </c>
      <c r="E5" s="75">
        <v>6554</v>
      </c>
      <c r="F5" s="75">
        <v>6095</v>
      </c>
      <c r="G5" s="75">
        <v>6044</v>
      </c>
      <c r="H5" s="75">
        <v>6447</v>
      </c>
      <c r="I5" s="75">
        <v>6184</v>
      </c>
      <c r="J5" s="75">
        <v>6438</v>
      </c>
      <c r="K5" s="75">
        <v>6522</v>
      </c>
      <c r="L5" s="75">
        <v>6568</v>
      </c>
      <c r="M5" s="75">
        <v>6473</v>
      </c>
      <c r="N5" s="75">
        <v>6292</v>
      </c>
      <c r="O5" s="75">
        <v>5901</v>
      </c>
      <c r="P5" s="75">
        <v>6324</v>
      </c>
      <c r="Q5" s="75">
        <v>6368</v>
      </c>
      <c r="R5" s="75">
        <v>6165</v>
      </c>
      <c r="S5" s="75">
        <v>5833</v>
      </c>
      <c r="T5" s="75">
        <v>5864</v>
      </c>
      <c r="U5" s="75">
        <v>6066</v>
      </c>
      <c r="V5" s="75">
        <v>5883</v>
      </c>
      <c r="W5" s="75">
        <v>6070</v>
      </c>
      <c r="X5" s="75">
        <v>5695</v>
      </c>
      <c r="Y5" s="75">
        <v>5590</v>
      </c>
      <c r="Z5" s="75">
        <v>5846</v>
      </c>
      <c r="AA5" s="75">
        <v>5607</v>
      </c>
      <c r="AB5" s="75">
        <v>5396</v>
      </c>
      <c r="AC5" s="75">
        <v>5680</v>
      </c>
      <c r="AD5" s="75">
        <v>5592</v>
      </c>
      <c r="AE5" s="75">
        <v>5879</v>
      </c>
      <c r="AF5" s="75">
        <v>5853</v>
      </c>
      <c r="AG5" s="75">
        <v>5461</v>
      </c>
      <c r="AH5" s="75">
        <v>5696</v>
      </c>
      <c r="AI5" s="75">
        <v>6111</v>
      </c>
      <c r="AJ5" s="75">
        <v>6125</v>
      </c>
      <c r="AK5" s="75">
        <v>5731</v>
      </c>
      <c r="AL5" s="75">
        <v>5923</v>
      </c>
      <c r="AM5" s="75">
        <v>5960</v>
      </c>
      <c r="AN5" s="75">
        <v>5774</v>
      </c>
      <c r="AO5" s="75">
        <v>5962</v>
      </c>
      <c r="AP5" s="75">
        <v>5589</v>
      </c>
      <c r="AQ5" s="75">
        <v>5510</v>
      </c>
      <c r="AR5" s="75">
        <v>5643</v>
      </c>
      <c r="AS5" s="75">
        <v>6013</v>
      </c>
      <c r="AT5" s="75">
        <v>5772</v>
      </c>
      <c r="AU5" s="75">
        <v>6240</v>
      </c>
      <c r="AV5" s="75">
        <v>6028</v>
      </c>
      <c r="AW5" s="75">
        <v>6061</v>
      </c>
      <c r="AX5" s="75">
        <v>5842</v>
      </c>
      <c r="AY5" s="75">
        <v>5943</v>
      </c>
      <c r="AZ5" s="75">
        <v>5724</v>
      </c>
      <c r="BA5" s="75">
        <v>4413</v>
      </c>
    </row>
    <row r="6" spans="1:54" s="47" customFormat="1" x14ac:dyDescent="0.2">
      <c r="A6" s="76" t="s">
        <v>157</v>
      </c>
      <c r="B6" s="75">
        <v>11623</v>
      </c>
      <c r="C6" s="75">
        <v>12634</v>
      </c>
      <c r="D6" s="75">
        <v>12775</v>
      </c>
      <c r="E6" s="75">
        <v>12815</v>
      </c>
      <c r="F6" s="75">
        <v>12318</v>
      </c>
      <c r="G6" s="75">
        <v>13159</v>
      </c>
      <c r="H6" s="75">
        <v>12768</v>
      </c>
      <c r="I6" s="75">
        <v>12798</v>
      </c>
      <c r="J6" s="75">
        <v>12269</v>
      </c>
      <c r="K6" s="75">
        <v>12461</v>
      </c>
      <c r="L6" s="75">
        <v>11945</v>
      </c>
      <c r="M6" s="75">
        <v>12248</v>
      </c>
      <c r="N6" s="75">
        <v>11739</v>
      </c>
      <c r="O6" s="75">
        <v>11339</v>
      </c>
      <c r="P6" s="75">
        <v>11322</v>
      </c>
      <c r="Q6" s="75">
        <v>11440</v>
      </c>
      <c r="R6" s="75">
        <v>11862</v>
      </c>
      <c r="S6" s="75">
        <v>11131</v>
      </c>
      <c r="T6" s="75">
        <v>11710</v>
      </c>
      <c r="U6" s="75">
        <v>11584</v>
      </c>
      <c r="V6" s="75">
        <v>11804</v>
      </c>
      <c r="W6" s="75">
        <v>11488</v>
      </c>
      <c r="X6" s="75">
        <v>12119</v>
      </c>
      <c r="Y6" s="75">
        <v>11427</v>
      </c>
      <c r="Z6" s="75">
        <v>11915</v>
      </c>
      <c r="AA6" s="75">
        <v>11624</v>
      </c>
      <c r="AB6" s="75">
        <v>11179</v>
      </c>
      <c r="AC6" s="75">
        <v>11321</v>
      </c>
      <c r="AD6" s="75">
        <v>11990</v>
      </c>
      <c r="AE6" s="75">
        <v>11680</v>
      </c>
      <c r="AF6" s="75">
        <v>12378</v>
      </c>
      <c r="AG6" s="75">
        <v>12381</v>
      </c>
      <c r="AH6" s="75">
        <v>12339</v>
      </c>
      <c r="AI6" s="75">
        <v>12269</v>
      </c>
      <c r="AJ6" s="75">
        <v>12459</v>
      </c>
      <c r="AK6" s="75">
        <v>11882</v>
      </c>
      <c r="AL6" s="75">
        <v>12198</v>
      </c>
      <c r="AM6" s="75">
        <v>12094</v>
      </c>
      <c r="AN6" s="75">
        <v>11555</v>
      </c>
      <c r="AO6" s="75">
        <v>11942</v>
      </c>
      <c r="AP6" s="75">
        <v>12118</v>
      </c>
      <c r="AQ6" s="75">
        <v>12285</v>
      </c>
      <c r="AR6" s="75">
        <v>12345</v>
      </c>
      <c r="AS6" s="75">
        <v>12521</v>
      </c>
      <c r="AT6" s="75">
        <v>13002</v>
      </c>
      <c r="AU6" s="75">
        <v>13213</v>
      </c>
      <c r="AV6" s="75">
        <v>12264</v>
      </c>
      <c r="AW6" s="75">
        <v>13090</v>
      </c>
      <c r="AX6" s="75">
        <v>12731</v>
      </c>
      <c r="AY6" s="75">
        <v>13004</v>
      </c>
      <c r="AZ6" s="75">
        <v>14181</v>
      </c>
      <c r="BA6" s="75">
        <v>11673</v>
      </c>
    </row>
    <row r="7" spans="1:54" s="47" customFormat="1" x14ac:dyDescent="0.2">
      <c r="A7" s="76" t="s">
        <v>159</v>
      </c>
      <c r="B7" s="75">
        <v>17712</v>
      </c>
      <c r="C7" s="75">
        <v>19064</v>
      </c>
      <c r="D7" s="75">
        <v>19978</v>
      </c>
      <c r="E7" s="75">
        <v>18967</v>
      </c>
      <c r="F7" s="75">
        <v>17306</v>
      </c>
      <c r="G7" s="75">
        <v>19535</v>
      </c>
      <c r="H7" s="75">
        <v>19092</v>
      </c>
      <c r="I7" s="75">
        <v>18316</v>
      </c>
      <c r="J7" s="75">
        <v>18263</v>
      </c>
      <c r="K7" s="75">
        <v>18018</v>
      </c>
      <c r="L7" s="75">
        <v>17381</v>
      </c>
      <c r="M7" s="75">
        <v>18764</v>
      </c>
      <c r="N7" s="75">
        <v>20531</v>
      </c>
      <c r="O7" s="75">
        <v>18493</v>
      </c>
      <c r="P7" s="75">
        <v>19975</v>
      </c>
      <c r="Q7" s="75">
        <v>20174</v>
      </c>
      <c r="R7" s="75">
        <v>21011</v>
      </c>
      <c r="S7" s="75">
        <v>18353</v>
      </c>
      <c r="T7" s="75">
        <v>18686</v>
      </c>
      <c r="U7" s="75">
        <v>18466</v>
      </c>
      <c r="V7" s="75">
        <v>17513</v>
      </c>
      <c r="W7" s="75">
        <v>18611</v>
      </c>
      <c r="X7" s="75">
        <v>18474</v>
      </c>
      <c r="Y7" s="75">
        <v>18961</v>
      </c>
      <c r="Z7" s="75">
        <v>20216</v>
      </c>
      <c r="AA7" s="75">
        <v>18393</v>
      </c>
      <c r="AB7" s="75">
        <v>19874</v>
      </c>
      <c r="AC7" s="75">
        <v>21152</v>
      </c>
      <c r="AD7" s="75">
        <v>20801</v>
      </c>
      <c r="AE7" s="75">
        <v>19531</v>
      </c>
      <c r="AF7" s="75">
        <v>19859</v>
      </c>
      <c r="AG7" s="75">
        <v>21075</v>
      </c>
      <c r="AH7" s="75">
        <v>21449</v>
      </c>
      <c r="AI7" s="75">
        <v>16187</v>
      </c>
      <c r="AJ7" s="75">
        <v>19562</v>
      </c>
      <c r="AK7" s="75">
        <v>20820</v>
      </c>
      <c r="AL7" s="75">
        <v>18214</v>
      </c>
      <c r="AM7" s="75">
        <v>20971</v>
      </c>
      <c r="AN7" s="75">
        <v>21137</v>
      </c>
      <c r="AO7" s="75">
        <v>20546</v>
      </c>
      <c r="AP7" s="75">
        <v>19481</v>
      </c>
      <c r="AQ7" s="75">
        <v>20581</v>
      </c>
      <c r="AR7" s="75">
        <v>19120</v>
      </c>
      <c r="AS7" s="75">
        <v>20252</v>
      </c>
      <c r="AT7" s="75">
        <v>20140</v>
      </c>
      <c r="AU7" s="75">
        <v>20152</v>
      </c>
      <c r="AV7" s="75">
        <v>18707</v>
      </c>
      <c r="AW7" s="75">
        <v>18479</v>
      </c>
      <c r="AX7" s="75">
        <v>17518</v>
      </c>
      <c r="AY7" s="75">
        <v>19524</v>
      </c>
      <c r="AZ7" s="75">
        <v>19286</v>
      </c>
      <c r="BA7" s="75">
        <v>15590</v>
      </c>
    </row>
    <row r="8" spans="1:54" s="47" customFormat="1" x14ac:dyDescent="0.2">
      <c r="A8" s="76" t="s">
        <v>161</v>
      </c>
      <c r="B8" s="75">
        <v>3364</v>
      </c>
      <c r="C8" s="75">
        <v>4383</v>
      </c>
      <c r="D8" s="75">
        <v>4233</v>
      </c>
      <c r="E8" s="75">
        <v>4010</v>
      </c>
      <c r="F8" s="75">
        <v>4087</v>
      </c>
      <c r="G8" s="75">
        <v>4097</v>
      </c>
      <c r="H8" s="75">
        <v>4159</v>
      </c>
      <c r="I8" s="75">
        <v>4232</v>
      </c>
      <c r="J8" s="75">
        <v>4772</v>
      </c>
      <c r="K8" s="75">
        <v>4286</v>
      </c>
      <c r="L8" s="75">
        <v>4445</v>
      </c>
      <c r="M8" s="75">
        <v>4374</v>
      </c>
      <c r="N8" s="75">
        <v>4507</v>
      </c>
      <c r="O8" s="75">
        <v>4508</v>
      </c>
      <c r="P8" s="75">
        <v>4817</v>
      </c>
      <c r="Q8" s="75">
        <v>4364</v>
      </c>
      <c r="R8" s="75">
        <v>4593</v>
      </c>
      <c r="S8" s="75">
        <v>4595</v>
      </c>
      <c r="T8" s="75">
        <v>4867</v>
      </c>
      <c r="U8" s="75">
        <v>4619</v>
      </c>
      <c r="V8" s="75">
        <v>4326</v>
      </c>
      <c r="W8" s="75">
        <v>4186</v>
      </c>
      <c r="X8" s="75">
        <v>4469</v>
      </c>
      <c r="Y8" s="75">
        <v>4412</v>
      </c>
      <c r="Z8" s="75">
        <v>4482</v>
      </c>
      <c r="AA8" s="75">
        <v>4502</v>
      </c>
      <c r="AB8" s="75">
        <v>3845</v>
      </c>
      <c r="AC8" s="75">
        <v>4076</v>
      </c>
      <c r="AD8" s="75">
        <v>4722</v>
      </c>
      <c r="AE8" s="75">
        <v>4226</v>
      </c>
      <c r="AF8" s="75">
        <v>4177</v>
      </c>
      <c r="AG8" s="75">
        <v>4603</v>
      </c>
      <c r="AH8" s="75">
        <v>4685</v>
      </c>
      <c r="AI8" s="75">
        <v>4428</v>
      </c>
      <c r="AJ8" s="75">
        <v>4305</v>
      </c>
      <c r="AK8" s="75">
        <v>4485</v>
      </c>
      <c r="AL8" s="75">
        <v>4767</v>
      </c>
      <c r="AM8" s="75">
        <v>4951</v>
      </c>
      <c r="AN8" s="75">
        <v>5191</v>
      </c>
      <c r="AO8" s="75">
        <v>5037</v>
      </c>
      <c r="AP8" s="75">
        <v>4635</v>
      </c>
      <c r="AQ8" s="75">
        <v>4862</v>
      </c>
      <c r="AR8" s="75">
        <v>4983</v>
      </c>
      <c r="AS8" s="75">
        <v>4584</v>
      </c>
      <c r="AT8" s="75">
        <v>4701</v>
      </c>
      <c r="AU8" s="75">
        <v>4906</v>
      </c>
      <c r="AV8" s="75">
        <v>4374</v>
      </c>
      <c r="AW8" s="75">
        <v>4736</v>
      </c>
      <c r="AX8" s="75">
        <v>5054</v>
      </c>
      <c r="AY8" s="75">
        <v>5214</v>
      </c>
      <c r="AZ8" s="75">
        <v>3923</v>
      </c>
      <c r="BA8" s="75">
        <v>2506</v>
      </c>
    </row>
    <row r="9" spans="1:54" s="47" customFormat="1" x14ac:dyDescent="0.2">
      <c r="A9" s="76" t="s">
        <v>163</v>
      </c>
      <c r="B9" s="75">
        <v>9098</v>
      </c>
      <c r="C9" s="75">
        <v>9856</v>
      </c>
      <c r="D9" s="75">
        <v>9296</v>
      </c>
      <c r="E9" s="75">
        <v>9941</v>
      </c>
      <c r="F9" s="75">
        <v>10842</v>
      </c>
      <c r="G9" s="75">
        <v>9581</v>
      </c>
      <c r="H9" s="75">
        <v>9499</v>
      </c>
      <c r="I9" s="75">
        <v>10301</v>
      </c>
      <c r="J9" s="75">
        <v>10061</v>
      </c>
      <c r="K9" s="75">
        <v>10279</v>
      </c>
      <c r="L9" s="75">
        <v>9999</v>
      </c>
      <c r="M9" s="75">
        <v>10489</v>
      </c>
      <c r="N9" s="75">
        <v>12750</v>
      </c>
      <c r="O9" s="75">
        <v>9705</v>
      </c>
      <c r="P9" s="75">
        <v>11222</v>
      </c>
      <c r="Q9" s="75">
        <v>10596</v>
      </c>
      <c r="R9" s="75">
        <v>10477</v>
      </c>
      <c r="S9" s="75">
        <v>10214</v>
      </c>
      <c r="T9" s="75">
        <v>10087</v>
      </c>
      <c r="U9" s="75">
        <v>9900</v>
      </c>
      <c r="V9" s="75">
        <v>9410</v>
      </c>
      <c r="W9" s="75">
        <v>11119</v>
      </c>
      <c r="X9" s="75">
        <v>8941</v>
      </c>
      <c r="Y9" s="75">
        <v>9907</v>
      </c>
      <c r="Z9" s="75">
        <v>10118</v>
      </c>
      <c r="AA9" s="75">
        <v>8900</v>
      </c>
      <c r="AB9" s="75">
        <v>7693</v>
      </c>
      <c r="AC9" s="75">
        <v>8201</v>
      </c>
      <c r="AD9" s="75">
        <v>9623</v>
      </c>
      <c r="AE9" s="75">
        <v>9356</v>
      </c>
      <c r="AF9" s="75">
        <v>9803</v>
      </c>
      <c r="AG9" s="75">
        <v>9902</v>
      </c>
      <c r="AH9" s="75">
        <v>9734</v>
      </c>
      <c r="AI9" s="75">
        <v>9262</v>
      </c>
      <c r="AJ9" s="75">
        <v>9273</v>
      </c>
      <c r="AK9" s="75">
        <v>10208</v>
      </c>
      <c r="AL9" s="75">
        <v>10240</v>
      </c>
      <c r="AM9" s="75">
        <v>9538</v>
      </c>
      <c r="AN9" s="75">
        <v>9852</v>
      </c>
      <c r="AO9" s="75">
        <v>10587</v>
      </c>
      <c r="AP9" s="75">
        <v>9648</v>
      </c>
      <c r="AQ9" s="75">
        <v>9484</v>
      </c>
      <c r="AR9" s="75">
        <v>9444</v>
      </c>
      <c r="AS9" s="75">
        <v>10442</v>
      </c>
      <c r="AT9" s="75">
        <v>11366</v>
      </c>
      <c r="AU9" s="75">
        <v>10324</v>
      </c>
      <c r="AV9" s="75">
        <v>8469</v>
      </c>
      <c r="AW9" s="75">
        <v>10685</v>
      </c>
      <c r="AX9" s="75">
        <v>8720</v>
      </c>
      <c r="AY9" s="75">
        <v>8886</v>
      </c>
      <c r="AZ9" s="75">
        <v>8576</v>
      </c>
      <c r="BA9" s="75">
        <v>8134</v>
      </c>
    </row>
    <row r="10" spans="1:54" s="47" customFormat="1" x14ac:dyDescent="0.2">
      <c r="A10" s="77" t="s">
        <v>165</v>
      </c>
      <c r="B10" s="75">
        <v>12798</v>
      </c>
      <c r="C10" s="75">
        <v>14178</v>
      </c>
      <c r="D10" s="75">
        <v>14182</v>
      </c>
      <c r="E10" s="75">
        <v>14210</v>
      </c>
      <c r="F10" s="75">
        <v>13280</v>
      </c>
      <c r="G10" s="75">
        <v>14632</v>
      </c>
      <c r="H10" s="75">
        <v>14794</v>
      </c>
      <c r="I10" s="75">
        <v>12874</v>
      </c>
      <c r="J10" s="75">
        <v>13936</v>
      </c>
      <c r="K10" s="75">
        <v>13828</v>
      </c>
      <c r="L10" s="75">
        <v>14594</v>
      </c>
      <c r="M10" s="75">
        <v>13506</v>
      </c>
      <c r="N10" s="75">
        <v>12642</v>
      </c>
      <c r="O10" s="75">
        <v>13643</v>
      </c>
      <c r="P10" s="75">
        <v>13610</v>
      </c>
      <c r="Q10" s="75">
        <v>13278</v>
      </c>
      <c r="R10" s="75">
        <v>12928</v>
      </c>
      <c r="S10" s="75">
        <v>11219</v>
      </c>
      <c r="T10" s="75">
        <v>12181</v>
      </c>
      <c r="U10" s="75">
        <v>11376</v>
      </c>
      <c r="V10" s="75">
        <v>11809</v>
      </c>
      <c r="W10" s="75">
        <v>10313</v>
      </c>
      <c r="X10" s="75">
        <v>10879</v>
      </c>
      <c r="Y10" s="75">
        <v>10472</v>
      </c>
      <c r="Z10" s="75">
        <v>9867</v>
      </c>
      <c r="AA10" s="75">
        <v>10143</v>
      </c>
      <c r="AB10" s="75">
        <v>10549</v>
      </c>
      <c r="AC10" s="75">
        <v>10337</v>
      </c>
      <c r="AD10" s="75">
        <v>11948</v>
      </c>
      <c r="AE10" s="75">
        <v>11008</v>
      </c>
      <c r="AF10" s="75">
        <v>10802</v>
      </c>
      <c r="AG10" s="75">
        <v>9785</v>
      </c>
      <c r="AH10" s="75">
        <v>10200</v>
      </c>
      <c r="AI10" s="75">
        <v>11171</v>
      </c>
      <c r="AJ10" s="75">
        <v>11047</v>
      </c>
      <c r="AK10" s="75">
        <v>12410</v>
      </c>
      <c r="AL10" s="75">
        <v>12996</v>
      </c>
      <c r="AM10" s="75">
        <v>14462</v>
      </c>
      <c r="AN10" s="75">
        <v>15094</v>
      </c>
      <c r="AO10" s="75">
        <v>16142</v>
      </c>
      <c r="AP10" s="75">
        <v>15318</v>
      </c>
      <c r="AQ10" s="75">
        <v>16368</v>
      </c>
      <c r="AR10" s="75">
        <v>14930</v>
      </c>
      <c r="AS10" s="75">
        <v>15298</v>
      </c>
      <c r="AT10" s="75">
        <v>14306</v>
      </c>
      <c r="AU10" s="75">
        <v>14899</v>
      </c>
      <c r="AV10" s="75">
        <v>14221</v>
      </c>
      <c r="AW10" s="75">
        <v>13410</v>
      </c>
      <c r="AX10" s="75">
        <v>13974</v>
      </c>
      <c r="AY10" s="75">
        <v>13476</v>
      </c>
      <c r="AZ10" s="75">
        <v>13131</v>
      </c>
      <c r="BA10" s="75">
        <v>9863</v>
      </c>
    </row>
    <row r="11" spans="1:54" s="47" customFormat="1" x14ac:dyDescent="0.2">
      <c r="A11" s="76" t="s">
        <v>167</v>
      </c>
      <c r="B11" s="75">
        <v>37187</v>
      </c>
      <c r="C11" s="75">
        <v>41715</v>
      </c>
      <c r="D11" s="75">
        <v>37664</v>
      </c>
      <c r="E11" s="75">
        <v>42042</v>
      </c>
      <c r="F11" s="75">
        <v>39255</v>
      </c>
      <c r="G11" s="75">
        <v>41068</v>
      </c>
      <c r="H11" s="75">
        <v>40482</v>
      </c>
      <c r="I11" s="75">
        <v>39466</v>
      </c>
      <c r="J11" s="75">
        <v>38527</v>
      </c>
      <c r="K11" s="75">
        <v>38960</v>
      </c>
      <c r="L11" s="75">
        <v>38684</v>
      </c>
      <c r="M11" s="75">
        <v>40829</v>
      </c>
      <c r="N11" s="75">
        <v>39427</v>
      </c>
      <c r="O11" s="75">
        <v>38281</v>
      </c>
      <c r="P11" s="75">
        <v>39549</v>
      </c>
      <c r="Q11" s="75">
        <v>43022</v>
      </c>
      <c r="R11" s="75">
        <v>42662</v>
      </c>
      <c r="S11" s="75">
        <v>43863</v>
      </c>
      <c r="T11" s="75">
        <v>41800</v>
      </c>
      <c r="U11" s="75">
        <v>45182</v>
      </c>
      <c r="V11" s="75">
        <v>45114</v>
      </c>
      <c r="W11" s="75">
        <v>42624</v>
      </c>
      <c r="X11" s="75">
        <v>41870</v>
      </c>
      <c r="Y11" s="75">
        <v>44189</v>
      </c>
      <c r="Z11" s="75">
        <v>41454</v>
      </c>
      <c r="AA11" s="75">
        <v>38358</v>
      </c>
      <c r="AB11" s="75">
        <v>21701</v>
      </c>
      <c r="AC11" s="75">
        <v>27534</v>
      </c>
      <c r="AD11" s="75">
        <v>40700</v>
      </c>
      <c r="AE11" s="75">
        <v>39329</v>
      </c>
      <c r="AF11" s="75">
        <v>42545</v>
      </c>
      <c r="AG11" s="75">
        <v>40643</v>
      </c>
      <c r="AH11" s="75">
        <v>40937</v>
      </c>
      <c r="AI11" s="75">
        <v>38235</v>
      </c>
      <c r="AJ11" s="75">
        <v>39203</v>
      </c>
      <c r="AK11" s="75">
        <v>37172</v>
      </c>
      <c r="AL11" s="75">
        <v>40740</v>
      </c>
      <c r="AM11" s="75">
        <v>41817</v>
      </c>
      <c r="AN11" s="75">
        <v>41335</v>
      </c>
      <c r="AO11" s="75">
        <v>40192</v>
      </c>
      <c r="AP11" s="75">
        <v>39274</v>
      </c>
      <c r="AQ11" s="75">
        <v>41043</v>
      </c>
      <c r="AR11" s="75">
        <v>39158</v>
      </c>
      <c r="AS11" s="75">
        <v>36566</v>
      </c>
      <c r="AT11" s="75">
        <v>39895</v>
      </c>
      <c r="AU11" s="75">
        <v>38122</v>
      </c>
      <c r="AV11" s="75">
        <v>40047</v>
      </c>
      <c r="AW11" s="75">
        <v>42340</v>
      </c>
      <c r="AX11" s="75">
        <v>41424</v>
      </c>
      <c r="AY11" s="75">
        <v>43809</v>
      </c>
      <c r="AZ11" s="75">
        <v>41905</v>
      </c>
      <c r="BA11" s="75">
        <v>34066</v>
      </c>
    </row>
    <row r="12" spans="1:54" s="47" customFormat="1" ht="13.5" thickBot="1" x14ac:dyDescent="0.25">
      <c r="A12" s="78" t="s">
        <v>174</v>
      </c>
      <c r="B12" s="23">
        <v>97436</v>
      </c>
      <c r="C12" s="23">
        <v>108021</v>
      </c>
      <c r="D12" s="23">
        <v>104164</v>
      </c>
      <c r="E12" s="23">
        <v>108539</v>
      </c>
      <c r="F12" s="23">
        <v>103183</v>
      </c>
      <c r="G12" s="23">
        <v>108116</v>
      </c>
      <c r="H12" s="23">
        <v>107241</v>
      </c>
      <c r="I12" s="23">
        <v>104171</v>
      </c>
      <c r="J12" s="23">
        <v>104266</v>
      </c>
      <c r="K12" s="23">
        <v>104354</v>
      </c>
      <c r="L12" s="23">
        <v>103616</v>
      </c>
      <c r="M12" s="23">
        <v>106683</v>
      </c>
      <c r="N12" s="23">
        <v>107888</v>
      </c>
      <c r="O12" s="23">
        <v>101870</v>
      </c>
      <c r="P12" s="23">
        <v>106819</v>
      </c>
      <c r="Q12" s="23">
        <v>109242</v>
      </c>
      <c r="R12" s="23">
        <v>109698</v>
      </c>
      <c r="S12" s="23">
        <v>105208</v>
      </c>
      <c r="T12" s="23">
        <v>105195</v>
      </c>
      <c r="U12" s="23">
        <v>107193</v>
      </c>
      <c r="V12" s="23">
        <v>105859</v>
      </c>
      <c r="W12" s="23">
        <v>104411</v>
      </c>
      <c r="X12" s="23">
        <v>102447</v>
      </c>
      <c r="Y12" s="23">
        <v>104958</v>
      </c>
      <c r="Z12" s="23">
        <v>103898</v>
      </c>
      <c r="AA12" s="23">
        <v>97527</v>
      </c>
      <c r="AB12" s="23">
        <v>80237</v>
      </c>
      <c r="AC12" s="23">
        <v>88301</v>
      </c>
      <c r="AD12" s="23">
        <v>105376</v>
      </c>
      <c r="AE12" s="23">
        <v>101009</v>
      </c>
      <c r="AF12" s="23">
        <v>105417</v>
      </c>
      <c r="AG12" s="23">
        <v>103850</v>
      </c>
      <c r="AH12" s="23">
        <v>105040</v>
      </c>
      <c r="AI12" s="23">
        <v>97663</v>
      </c>
      <c r="AJ12" s="23">
        <v>101974</v>
      </c>
      <c r="AK12" s="23">
        <v>102708</v>
      </c>
      <c r="AL12" s="23">
        <v>105078</v>
      </c>
      <c r="AM12" s="23">
        <v>109793</v>
      </c>
      <c r="AN12" s="23">
        <v>109938</v>
      </c>
      <c r="AO12" s="23">
        <v>110408</v>
      </c>
      <c r="AP12" s="23">
        <v>106063</v>
      </c>
      <c r="AQ12" s="23">
        <v>110133</v>
      </c>
      <c r="AR12" s="23">
        <v>105623</v>
      </c>
      <c r="AS12" s="23">
        <v>105676</v>
      </c>
      <c r="AT12" s="23">
        <v>109182</v>
      </c>
      <c r="AU12" s="23">
        <v>107856</v>
      </c>
      <c r="AV12" s="23">
        <v>104110</v>
      </c>
      <c r="AW12" s="23">
        <v>108801</v>
      </c>
      <c r="AX12" s="23">
        <v>105263</v>
      </c>
      <c r="AY12" s="23">
        <v>109856</v>
      </c>
      <c r="AZ12" s="23">
        <v>106726</v>
      </c>
      <c r="BA12" s="23">
        <v>86245</v>
      </c>
    </row>
    <row r="13" spans="1:54" s="47" customFormat="1" ht="13.5" thickTop="1" x14ac:dyDescent="0.2">
      <c r="A13" s="76"/>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row>
    <row r="14" spans="1:54" s="47" customFormat="1" x14ac:dyDescent="0.2">
      <c r="A14" s="73" t="s">
        <v>175</v>
      </c>
    </row>
    <row r="15" spans="1:54" s="47" customFormat="1" x14ac:dyDescent="0.2">
      <c r="A15" s="74" t="s">
        <v>155</v>
      </c>
      <c r="B15" s="75">
        <v>410.18116199999997</v>
      </c>
      <c r="C15" s="75">
        <v>476.50216899999998</v>
      </c>
      <c r="D15" s="75">
        <v>459.08140800000001</v>
      </c>
      <c r="E15" s="75">
        <v>475.22364399999998</v>
      </c>
      <c r="F15" s="75">
        <v>457.15435100000002</v>
      </c>
      <c r="G15" s="75">
        <v>441.93746099999998</v>
      </c>
      <c r="H15" s="75">
        <v>493.300543</v>
      </c>
      <c r="I15" s="75">
        <v>455.21162700000002</v>
      </c>
      <c r="J15" s="75">
        <v>484.71674100000001</v>
      </c>
      <c r="K15" s="75">
        <v>480.16727300000002</v>
      </c>
      <c r="L15" s="75">
        <v>470.277939</v>
      </c>
      <c r="M15" s="75">
        <v>502.279788</v>
      </c>
      <c r="N15" s="75">
        <v>479.52673299999998</v>
      </c>
      <c r="O15" s="75">
        <v>436.472106</v>
      </c>
      <c r="P15" s="75">
        <v>473.51980099999997</v>
      </c>
      <c r="Q15" s="75">
        <v>496.74645199999998</v>
      </c>
      <c r="R15" s="75">
        <v>467.36063200000001</v>
      </c>
      <c r="S15" s="75">
        <v>440.630494</v>
      </c>
      <c r="T15" s="75">
        <v>440.21668499999998</v>
      </c>
      <c r="U15" s="75">
        <v>457.632453</v>
      </c>
      <c r="V15" s="75">
        <v>412.85479299999997</v>
      </c>
      <c r="W15" s="75">
        <v>430.28098</v>
      </c>
      <c r="X15" s="75">
        <v>422.241893</v>
      </c>
      <c r="Y15" s="75">
        <v>432.67250799999999</v>
      </c>
      <c r="Z15" s="75">
        <v>428.67104999999998</v>
      </c>
      <c r="AA15" s="75">
        <v>403.94775800000002</v>
      </c>
      <c r="AB15" s="75">
        <v>409.99957799999999</v>
      </c>
      <c r="AC15" s="75">
        <v>455.723839</v>
      </c>
      <c r="AD15" s="75">
        <v>420.97247399999998</v>
      </c>
      <c r="AE15" s="75">
        <v>451.10719399999999</v>
      </c>
      <c r="AF15" s="75">
        <v>427.60653500000001</v>
      </c>
      <c r="AG15" s="75">
        <v>414.57111800000001</v>
      </c>
      <c r="AH15" s="75">
        <v>433.43205999999998</v>
      </c>
      <c r="AI15" s="75">
        <v>458.180678</v>
      </c>
      <c r="AJ15" s="75">
        <v>476.72680100000002</v>
      </c>
      <c r="AK15" s="75">
        <v>420.03667100000001</v>
      </c>
      <c r="AL15" s="75">
        <v>452.45527600000003</v>
      </c>
      <c r="AM15" s="75">
        <v>446.39435400000002</v>
      </c>
      <c r="AN15" s="75">
        <v>425.69115299999999</v>
      </c>
      <c r="AO15" s="75">
        <v>454.44031799999999</v>
      </c>
      <c r="AP15" s="75">
        <v>415.06086499999998</v>
      </c>
      <c r="AQ15" s="75">
        <v>435.95195100000001</v>
      </c>
      <c r="AR15" s="75">
        <v>413.19035400000001</v>
      </c>
      <c r="AS15" s="75">
        <v>446.03003200000001</v>
      </c>
      <c r="AT15" s="75">
        <v>429.901228</v>
      </c>
      <c r="AU15" s="75">
        <v>467.44506699999999</v>
      </c>
      <c r="AV15" s="75">
        <v>463.75915500000002</v>
      </c>
      <c r="AW15" s="75">
        <v>452.88129900000001</v>
      </c>
      <c r="AX15" s="75">
        <v>425.64727800000003</v>
      </c>
      <c r="AY15" s="75">
        <v>437.325469</v>
      </c>
      <c r="AZ15" s="75">
        <v>448.757631</v>
      </c>
      <c r="BA15" s="75">
        <v>298.50642199999999</v>
      </c>
    </row>
    <row r="16" spans="1:54" s="47" customFormat="1" x14ac:dyDescent="0.2">
      <c r="A16" s="76" t="s">
        <v>157</v>
      </c>
      <c r="B16" s="75">
        <v>802.02446499999996</v>
      </c>
      <c r="C16" s="75">
        <v>861.023368</v>
      </c>
      <c r="D16" s="75">
        <v>898.02007400000002</v>
      </c>
      <c r="E16" s="75">
        <v>897.15606500000001</v>
      </c>
      <c r="F16" s="75">
        <v>847.65642800000001</v>
      </c>
      <c r="G16" s="75">
        <v>900.71520799999996</v>
      </c>
      <c r="H16" s="75">
        <v>902.494913</v>
      </c>
      <c r="I16" s="75">
        <v>853.35704699999997</v>
      </c>
      <c r="J16" s="75">
        <v>836.81651699999998</v>
      </c>
      <c r="K16" s="75">
        <v>882.33416199999999</v>
      </c>
      <c r="L16" s="75">
        <v>797.41080099999999</v>
      </c>
      <c r="M16" s="75">
        <v>825.62720300000001</v>
      </c>
      <c r="N16" s="75">
        <v>817.22342200000003</v>
      </c>
      <c r="O16" s="75">
        <v>782.56963199999996</v>
      </c>
      <c r="P16" s="75">
        <v>817.27119800000003</v>
      </c>
      <c r="Q16" s="75">
        <v>819.60882400000003</v>
      </c>
      <c r="R16" s="75">
        <v>820.57127700000001</v>
      </c>
      <c r="S16" s="75">
        <v>773.43283199999996</v>
      </c>
      <c r="T16" s="75">
        <v>828.46616700000004</v>
      </c>
      <c r="U16" s="75">
        <v>787.25275399999998</v>
      </c>
      <c r="V16" s="75">
        <v>802.07112900000004</v>
      </c>
      <c r="W16" s="75">
        <v>777.800251</v>
      </c>
      <c r="X16" s="75">
        <v>822.03013599999997</v>
      </c>
      <c r="Y16" s="75">
        <v>775.02470700000003</v>
      </c>
      <c r="Z16" s="75">
        <v>788.17585899999995</v>
      </c>
      <c r="AA16" s="75">
        <v>794.97351600000002</v>
      </c>
      <c r="AB16" s="75">
        <v>749.46326799999997</v>
      </c>
      <c r="AC16" s="75">
        <v>727.05872799999997</v>
      </c>
      <c r="AD16" s="75">
        <v>796.225683</v>
      </c>
      <c r="AE16" s="75">
        <v>758.57503799999995</v>
      </c>
      <c r="AF16" s="75">
        <v>803.66262900000004</v>
      </c>
      <c r="AG16" s="75">
        <v>826.93603499999995</v>
      </c>
      <c r="AH16" s="75">
        <v>797.39188300000001</v>
      </c>
      <c r="AI16" s="75">
        <v>829.12899600000003</v>
      </c>
      <c r="AJ16" s="75">
        <v>826.34678499999995</v>
      </c>
      <c r="AK16" s="75">
        <v>825.47227999999996</v>
      </c>
      <c r="AL16" s="75">
        <v>856.94078300000001</v>
      </c>
      <c r="AM16" s="75">
        <v>816.49973199999999</v>
      </c>
      <c r="AN16" s="75">
        <v>788.10276799999997</v>
      </c>
      <c r="AO16" s="75">
        <v>810.64133100000004</v>
      </c>
      <c r="AP16" s="75">
        <v>837.08477300000004</v>
      </c>
      <c r="AQ16" s="75">
        <v>838.33325200000002</v>
      </c>
      <c r="AR16" s="75">
        <v>879.88279499999999</v>
      </c>
      <c r="AS16" s="75">
        <v>894.27530200000001</v>
      </c>
      <c r="AT16" s="75">
        <v>946.150037</v>
      </c>
      <c r="AU16" s="75">
        <v>924.90387799999996</v>
      </c>
      <c r="AV16" s="75">
        <v>887.30184199999997</v>
      </c>
      <c r="AW16" s="75">
        <v>948.39401199999998</v>
      </c>
      <c r="AX16" s="75">
        <v>944.53284499999995</v>
      </c>
      <c r="AY16" s="75">
        <v>952.99238300000002</v>
      </c>
      <c r="AZ16" s="75">
        <v>1077.8690630000001</v>
      </c>
      <c r="BA16" s="75">
        <v>888.297684</v>
      </c>
    </row>
    <row r="17" spans="1:53" s="47" customFormat="1" x14ac:dyDescent="0.2">
      <c r="A17" s="76" t="s">
        <v>159</v>
      </c>
      <c r="B17" s="75">
        <v>448.90206499999999</v>
      </c>
      <c r="C17" s="75">
        <v>566.07815600000004</v>
      </c>
      <c r="D17" s="75">
        <v>628.61220300000002</v>
      </c>
      <c r="E17" s="75">
        <v>586.10216000000003</v>
      </c>
      <c r="F17" s="75">
        <v>462.21126500000003</v>
      </c>
      <c r="G17" s="75">
        <v>579.86623799999995</v>
      </c>
      <c r="H17" s="75">
        <v>624.57836999999995</v>
      </c>
      <c r="I17" s="75">
        <v>544.68970400000001</v>
      </c>
      <c r="J17" s="75">
        <v>576.21125900000004</v>
      </c>
      <c r="K17" s="75">
        <v>491.231405</v>
      </c>
      <c r="L17" s="75">
        <v>550.93582700000002</v>
      </c>
      <c r="M17" s="75">
        <v>595.92878900000005</v>
      </c>
      <c r="N17" s="75">
        <v>510.434573</v>
      </c>
      <c r="O17" s="75">
        <v>561.45232299999998</v>
      </c>
      <c r="P17" s="75">
        <v>508.72224199999999</v>
      </c>
      <c r="Q17" s="75">
        <v>556.57097799999997</v>
      </c>
      <c r="R17" s="75">
        <v>493.256213</v>
      </c>
      <c r="S17" s="75">
        <v>507.28993200000002</v>
      </c>
      <c r="T17" s="75">
        <v>502.86145599999998</v>
      </c>
      <c r="U17" s="75">
        <v>385.20222799999999</v>
      </c>
      <c r="V17" s="75">
        <v>484.14155099999999</v>
      </c>
      <c r="W17" s="75">
        <v>538.39706699999999</v>
      </c>
      <c r="X17" s="75">
        <v>477.22910200000001</v>
      </c>
      <c r="Y17" s="75">
        <v>600.15569000000005</v>
      </c>
      <c r="Z17" s="75">
        <v>550.05057799999997</v>
      </c>
      <c r="AA17" s="75">
        <v>627.02442299999996</v>
      </c>
      <c r="AB17" s="75">
        <v>582.298632</v>
      </c>
      <c r="AC17" s="75">
        <v>608.29408699999999</v>
      </c>
      <c r="AD17" s="75">
        <v>667.50932699999998</v>
      </c>
      <c r="AE17" s="75">
        <v>514.34434799999997</v>
      </c>
      <c r="AF17" s="75">
        <v>558.08617100000004</v>
      </c>
      <c r="AG17" s="75">
        <v>624.73492999999996</v>
      </c>
      <c r="AH17" s="75">
        <v>592.99947799999995</v>
      </c>
      <c r="AI17" s="75">
        <v>514.06320200000005</v>
      </c>
      <c r="AJ17" s="75">
        <v>574.34882600000003</v>
      </c>
      <c r="AK17" s="75">
        <v>570.16733999999997</v>
      </c>
      <c r="AL17" s="75">
        <v>519.23125300000004</v>
      </c>
      <c r="AM17" s="75">
        <v>530.45867399999997</v>
      </c>
      <c r="AN17" s="75">
        <v>628.191147</v>
      </c>
      <c r="AO17" s="75">
        <v>597.15577499999995</v>
      </c>
      <c r="AP17" s="75">
        <v>628.27750200000003</v>
      </c>
      <c r="AQ17" s="75">
        <v>572.18091500000003</v>
      </c>
      <c r="AR17" s="75">
        <v>572.46850099999995</v>
      </c>
      <c r="AS17" s="75">
        <v>535.38713099999995</v>
      </c>
      <c r="AT17" s="75">
        <v>473.34906000000001</v>
      </c>
      <c r="AU17" s="75">
        <v>555.19625099999996</v>
      </c>
      <c r="AV17" s="75">
        <v>475.47162500000002</v>
      </c>
      <c r="AW17" s="75">
        <v>510.87128000000001</v>
      </c>
      <c r="AX17" s="75">
        <v>477.441305</v>
      </c>
      <c r="AY17" s="75">
        <v>488.13959699999998</v>
      </c>
      <c r="AZ17" s="75">
        <v>488.450468</v>
      </c>
      <c r="BA17" s="75">
        <v>533.92582100000004</v>
      </c>
    </row>
    <row r="18" spans="1:53" s="47" customFormat="1" x14ac:dyDescent="0.2">
      <c r="A18" s="76" t="s">
        <v>161</v>
      </c>
      <c r="B18" s="75">
        <v>37.938817999999998</v>
      </c>
      <c r="C18" s="75">
        <v>55.062469</v>
      </c>
      <c r="D18" s="75">
        <v>55.838306000000003</v>
      </c>
      <c r="E18" s="75">
        <v>54.164256999999999</v>
      </c>
      <c r="F18" s="75">
        <v>52.361697999999997</v>
      </c>
      <c r="G18" s="75">
        <v>47.946443000000002</v>
      </c>
      <c r="H18" s="75">
        <v>50.600467000000002</v>
      </c>
      <c r="I18" s="75">
        <v>48.279867000000003</v>
      </c>
      <c r="J18" s="75">
        <v>58.701414999999997</v>
      </c>
      <c r="K18" s="75">
        <v>56.803815</v>
      </c>
      <c r="L18" s="75">
        <v>55.470812000000002</v>
      </c>
      <c r="M18" s="75">
        <v>51.619267999999998</v>
      </c>
      <c r="N18" s="75">
        <v>54.224814000000002</v>
      </c>
      <c r="O18" s="75">
        <v>56.654572999999999</v>
      </c>
      <c r="P18" s="75">
        <v>66.688122000000007</v>
      </c>
      <c r="Q18" s="75">
        <v>57.640678999999999</v>
      </c>
      <c r="R18" s="75">
        <v>60.34646</v>
      </c>
      <c r="S18" s="75">
        <v>61.545501999999999</v>
      </c>
      <c r="T18" s="75">
        <v>67.511815999999996</v>
      </c>
      <c r="U18" s="75">
        <v>65.062719000000001</v>
      </c>
      <c r="V18" s="75">
        <v>56.377220000000001</v>
      </c>
      <c r="W18" s="75">
        <v>62.036244000000003</v>
      </c>
      <c r="X18" s="75">
        <v>58.202343999999997</v>
      </c>
      <c r="Y18" s="75">
        <v>58.538533000000001</v>
      </c>
      <c r="Z18" s="75">
        <v>58.376550999999999</v>
      </c>
      <c r="AA18" s="75">
        <v>61.803497</v>
      </c>
      <c r="AB18" s="75">
        <v>60.319705999999996</v>
      </c>
      <c r="AC18" s="75">
        <v>57.761299000000001</v>
      </c>
      <c r="AD18" s="75">
        <v>63.909523999999998</v>
      </c>
      <c r="AE18" s="75">
        <v>55.368372999999998</v>
      </c>
      <c r="AF18" s="75">
        <v>61.799655000000001</v>
      </c>
      <c r="AG18" s="75">
        <v>67.423126999999994</v>
      </c>
      <c r="AH18" s="75">
        <v>61.886968000000003</v>
      </c>
      <c r="AI18" s="75">
        <v>60.222265</v>
      </c>
      <c r="AJ18" s="75">
        <v>60.390579000000002</v>
      </c>
      <c r="AK18" s="75">
        <v>61.886457</v>
      </c>
      <c r="AL18" s="75">
        <v>64.136240999999998</v>
      </c>
      <c r="AM18" s="75">
        <v>67.648559000000006</v>
      </c>
      <c r="AN18" s="75">
        <v>71.646172000000007</v>
      </c>
      <c r="AO18" s="75">
        <v>70.922612000000001</v>
      </c>
      <c r="AP18" s="75">
        <v>61.308174000000001</v>
      </c>
      <c r="AQ18" s="75">
        <v>75.853785000000002</v>
      </c>
      <c r="AR18" s="75">
        <v>71.025507000000005</v>
      </c>
      <c r="AS18" s="75">
        <v>65.657144000000002</v>
      </c>
      <c r="AT18" s="75">
        <v>62.828195999999998</v>
      </c>
      <c r="AU18" s="75">
        <v>70.386797000000001</v>
      </c>
      <c r="AV18" s="75">
        <v>65.123716999999999</v>
      </c>
      <c r="AW18" s="75">
        <v>64.426805000000002</v>
      </c>
      <c r="AX18" s="75">
        <v>64.586344999999994</v>
      </c>
      <c r="AY18" s="75">
        <v>77.515338</v>
      </c>
      <c r="AZ18" s="75">
        <v>54.363036999999998</v>
      </c>
      <c r="BA18" s="75">
        <v>38.857964000000003</v>
      </c>
    </row>
    <row r="19" spans="1:53" s="47" customFormat="1" x14ac:dyDescent="0.2">
      <c r="A19" s="76" t="s">
        <v>163</v>
      </c>
      <c r="B19" s="75">
        <v>405.804373</v>
      </c>
      <c r="C19" s="75">
        <v>445.24860100000001</v>
      </c>
      <c r="D19" s="75">
        <v>454.390466</v>
      </c>
      <c r="E19" s="75">
        <v>424.99317600000001</v>
      </c>
      <c r="F19" s="75">
        <v>457.05491000000001</v>
      </c>
      <c r="G19" s="75">
        <v>443.66205500000001</v>
      </c>
      <c r="H19" s="75">
        <v>458.086409</v>
      </c>
      <c r="I19" s="75">
        <v>445.01451200000002</v>
      </c>
      <c r="J19" s="75">
        <v>449.40184299999999</v>
      </c>
      <c r="K19" s="75">
        <v>466.94444600000003</v>
      </c>
      <c r="L19" s="75">
        <v>445.58389099999999</v>
      </c>
      <c r="M19" s="75">
        <v>493.86975999999999</v>
      </c>
      <c r="N19" s="75">
        <v>551.95164299999999</v>
      </c>
      <c r="O19" s="75">
        <v>482.36734300000001</v>
      </c>
      <c r="P19" s="75">
        <v>540.11523</v>
      </c>
      <c r="Q19" s="75">
        <v>509.31485199999997</v>
      </c>
      <c r="R19" s="75">
        <v>478.68781300000001</v>
      </c>
      <c r="S19" s="75">
        <v>423.79066</v>
      </c>
      <c r="T19" s="75">
        <v>451.77391899999998</v>
      </c>
      <c r="U19" s="75">
        <v>453.24483700000002</v>
      </c>
      <c r="V19" s="75">
        <v>440.67188900000002</v>
      </c>
      <c r="W19" s="75">
        <v>476.87851999999998</v>
      </c>
      <c r="X19" s="75">
        <v>398.31427300000001</v>
      </c>
      <c r="Y19" s="75">
        <v>427.37451299999998</v>
      </c>
      <c r="Z19" s="75">
        <v>404.98077999999998</v>
      </c>
      <c r="AA19" s="75">
        <v>394.22195199999999</v>
      </c>
      <c r="AB19" s="75">
        <v>378.01248299999997</v>
      </c>
      <c r="AC19" s="75">
        <v>491.31946099999999</v>
      </c>
      <c r="AD19" s="75">
        <v>373.24143500000002</v>
      </c>
      <c r="AE19" s="75">
        <v>391.075965</v>
      </c>
      <c r="AF19" s="75">
        <v>446.86170199999998</v>
      </c>
      <c r="AG19" s="75">
        <v>365.06004200000001</v>
      </c>
      <c r="AH19" s="75">
        <v>411.55973</v>
      </c>
      <c r="AI19" s="75">
        <v>403.48586599999999</v>
      </c>
      <c r="AJ19" s="75">
        <v>361.41434600000002</v>
      </c>
      <c r="AK19" s="75">
        <v>476.12888900000002</v>
      </c>
      <c r="AL19" s="75">
        <v>453.58616799999999</v>
      </c>
      <c r="AM19" s="75">
        <v>420.53968200000003</v>
      </c>
      <c r="AN19" s="75">
        <v>424.03642300000001</v>
      </c>
      <c r="AO19" s="75">
        <v>407.12536699999998</v>
      </c>
      <c r="AP19" s="75">
        <v>411.70982900000001</v>
      </c>
      <c r="AQ19" s="75">
        <v>420.22598299999999</v>
      </c>
      <c r="AR19" s="75">
        <v>422.15675099999999</v>
      </c>
      <c r="AS19" s="75">
        <v>466.16468300000003</v>
      </c>
      <c r="AT19" s="75">
        <v>467.80611199999998</v>
      </c>
      <c r="AU19" s="75">
        <v>448.10832900000003</v>
      </c>
      <c r="AV19" s="75">
        <v>385.99813899999998</v>
      </c>
      <c r="AW19" s="75">
        <v>459.83835599999998</v>
      </c>
      <c r="AX19" s="75">
        <v>413.75766499999997</v>
      </c>
      <c r="AY19" s="75">
        <v>370.727867</v>
      </c>
      <c r="AZ19" s="75">
        <v>352.56290100000001</v>
      </c>
      <c r="BA19" s="75">
        <v>364.61675700000001</v>
      </c>
    </row>
    <row r="20" spans="1:53" s="47" customFormat="1" x14ac:dyDescent="0.2">
      <c r="A20" s="77" t="s">
        <v>165</v>
      </c>
      <c r="B20" s="75">
        <v>1216.2508350000001</v>
      </c>
      <c r="C20" s="75">
        <v>1439.039941</v>
      </c>
      <c r="D20" s="75">
        <v>1327.1293700000001</v>
      </c>
      <c r="E20" s="75">
        <v>1325.429521</v>
      </c>
      <c r="F20" s="75">
        <v>1283.9768200000001</v>
      </c>
      <c r="G20" s="75">
        <v>1433.1537940000001</v>
      </c>
      <c r="H20" s="75">
        <v>1399.1360609999999</v>
      </c>
      <c r="I20" s="75">
        <v>1172.7687550000001</v>
      </c>
      <c r="J20" s="75">
        <v>1356.470425</v>
      </c>
      <c r="K20" s="75">
        <v>1354.3110810000001</v>
      </c>
      <c r="L20" s="75">
        <v>1408.219427</v>
      </c>
      <c r="M20" s="75">
        <v>1270.1467379999999</v>
      </c>
      <c r="N20" s="75">
        <v>1196.994093</v>
      </c>
      <c r="O20" s="75">
        <v>1292.912253</v>
      </c>
      <c r="P20" s="75">
        <v>1301.7383090000001</v>
      </c>
      <c r="Q20" s="75">
        <v>1234.3373449999999</v>
      </c>
      <c r="R20" s="75">
        <v>1141.296298</v>
      </c>
      <c r="S20" s="75">
        <v>989.36444900000004</v>
      </c>
      <c r="T20" s="75">
        <v>1083.422341</v>
      </c>
      <c r="U20" s="75">
        <v>980.155529</v>
      </c>
      <c r="V20" s="75">
        <v>1077.2937879999999</v>
      </c>
      <c r="W20" s="75">
        <v>813.42862100000002</v>
      </c>
      <c r="X20" s="75">
        <v>967.52262299999995</v>
      </c>
      <c r="Y20" s="75">
        <v>876.19442900000001</v>
      </c>
      <c r="Z20" s="75">
        <v>867.74277700000005</v>
      </c>
      <c r="AA20" s="75">
        <v>933.86316499999998</v>
      </c>
      <c r="AB20" s="75">
        <v>1008.849106</v>
      </c>
      <c r="AC20" s="75">
        <v>949.93192199999999</v>
      </c>
      <c r="AD20" s="75">
        <v>1151.1747319999999</v>
      </c>
      <c r="AE20" s="75">
        <v>1117.1142580000001</v>
      </c>
      <c r="AF20" s="75">
        <v>1008.9670190000001</v>
      </c>
      <c r="AG20" s="75">
        <v>901.45970299999999</v>
      </c>
      <c r="AH20" s="75">
        <v>986.26180499999998</v>
      </c>
      <c r="AI20" s="75">
        <v>1061.514457</v>
      </c>
      <c r="AJ20" s="75">
        <v>1086.4407590000001</v>
      </c>
      <c r="AK20" s="75">
        <v>1117.4824000000001</v>
      </c>
      <c r="AL20" s="75">
        <v>1156.1470380000001</v>
      </c>
      <c r="AM20" s="75">
        <v>1355.807564</v>
      </c>
      <c r="AN20" s="75">
        <v>1494.2954850000001</v>
      </c>
      <c r="AO20" s="75">
        <v>1465.01449</v>
      </c>
      <c r="AP20" s="75">
        <v>1506.9180739999999</v>
      </c>
      <c r="AQ20" s="75">
        <v>1567.263457</v>
      </c>
      <c r="AR20" s="75">
        <v>1545.036443</v>
      </c>
      <c r="AS20" s="75">
        <v>1507.6246900000001</v>
      </c>
      <c r="AT20" s="75">
        <v>1421.873722</v>
      </c>
      <c r="AU20" s="75">
        <v>1523.652621</v>
      </c>
      <c r="AV20" s="75">
        <v>1423.650607</v>
      </c>
      <c r="AW20" s="75">
        <v>1284.8599810000001</v>
      </c>
      <c r="AX20" s="75">
        <v>1328.8392249999999</v>
      </c>
      <c r="AY20" s="75">
        <v>1309.148817</v>
      </c>
      <c r="AZ20" s="75">
        <v>1275.2088490000001</v>
      </c>
      <c r="BA20" s="75">
        <v>992.76339499999995</v>
      </c>
    </row>
    <row r="21" spans="1:53" s="47" customFormat="1" x14ac:dyDescent="0.2">
      <c r="A21" s="76" t="s">
        <v>167</v>
      </c>
      <c r="B21" s="75">
        <v>837.27087800000004</v>
      </c>
      <c r="C21" s="75">
        <v>1040.8125809999999</v>
      </c>
      <c r="D21" s="75">
        <v>901.44171900000003</v>
      </c>
      <c r="E21" s="75">
        <v>1045.1686970000001</v>
      </c>
      <c r="F21" s="75">
        <v>962.67248199999995</v>
      </c>
      <c r="G21" s="75">
        <v>971.23031700000001</v>
      </c>
      <c r="H21" s="75">
        <v>964.37392599999998</v>
      </c>
      <c r="I21" s="75">
        <v>922.79532500000005</v>
      </c>
      <c r="J21" s="75">
        <v>957.35900700000002</v>
      </c>
      <c r="K21" s="75">
        <v>968.24516500000004</v>
      </c>
      <c r="L21" s="75">
        <v>900.45144500000004</v>
      </c>
      <c r="M21" s="75">
        <v>960.94221000000005</v>
      </c>
      <c r="N21" s="75">
        <v>910.25016900000003</v>
      </c>
      <c r="O21" s="75">
        <v>902.80059900000003</v>
      </c>
      <c r="P21" s="75">
        <v>940.62032799999997</v>
      </c>
      <c r="Q21" s="75">
        <v>998.08000100000004</v>
      </c>
      <c r="R21" s="75">
        <v>974.68653099999995</v>
      </c>
      <c r="S21" s="75">
        <v>956.73133499999994</v>
      </c>
      <c r="T21" s="75">
        <v>970.36812199999997</v>
      </c>
      <c r="U21" s="75">
        <v>1026.6267800000001</v>
      </c>
      <c r="V21" s="75">
        <v>1035.4126429999999</v>
      </c>
      <c r="W21" s="75">
        <v>999.11679200000003</v>
      </c>
      <c r="X21" s="75">
        <v>947.372793</v>
      </c>
      <c r="Y21" s="75">
        <v>973.047191</v>
      </c>
      <c r="Z21" s="75">
        <v>955.12515900000005</v>
      </c>
      <c r="AA21" s="75">
        <v>896.81619499999999</v>
      </c>
      <c r="AB21" s="75">
        <v>415.02923800000002</v>
      </c>
      <c r="AC21" s="75">
        <v>580.881079</v>
      </c>
      <c r="AD21" s="75">
        <v>942.40288199999998</v>
      </c>
      <c r="AE21" s="75">
        <v>924.87832100000003</v>
      </c>
      <c r="AF21" s="75">
        <v>964.09893499999998</v>
      </c>
      <c r="AG21" s="75">
        <v>871.61590699999999</v>
      </c>
      <c r="AH21" s="75">
        <v>959.27766999999994</v>
      </c>
      <c r="AI21" s="75">
        <v>859.92707499999995</v>
      </c>
      <c r="AJ21" s="75">
        <v>845.41139099999998</v>
      </c>
      <c r="AK21" s="75">
        <v>828.24070400000005</v>
      </c>
      <c r="AL21" s="75">
        <v>918.25736199999994</v>
      </c>
      <c r="AM21" s="75">
        <v>975.61884799999996</v>
      </c>
      <c r="AN21" s="75">
        <v>903.24244299999998</v>
      </c>
      <c r="AO21" s="75">
        <v>938.22674700000005</v>
      </c>
      <c r="AP21" s="75">
        <v>864.74065099999996</v>
      </c>
      <c r="AQ21" s="75">
        <v>910.33158900000001</v>
      </c>
      <c r="AR21" s="75">
        <v>923.15671699999996</v>
      </c>
      <c r="AS21" s="75">
        <v>760.18734400000005</v>
      </c>
      <c r="AT21" s="75">
        <v>965.35345099999995</v>
      </c>
      <c r="AU21" s="75">
        <v>888.51850899999999</v>
      </c>
      <c r="AV21" s="75">
        <v>908.04581700000006</v>
      </c>
      <c r="AW21" s="75">
        <v>1020.322375</v>
      </c>
      <c r="AX21" s="75">
        <v>983.16574400000002</v>
      </c>
      <c r="AY21" s="75">
        <v>998.32605699999999</v>
      </c>
      <c r="AZ21" s="75">
        <v>984.39462500000002</v>
      </c>
      <c r="BA21" s="75">
        <v>755.640308</v>
      </c>
    </row>
    <row r="22" spans="1:53" s="47" customFormat="1" ht="13.5" thickBot="1" x14ac:dyDescent="0.25">
      <c r="A22" s="78" t="s">
        <v>176</v>
      </c>
      <c r="B22" s="23">
        <v>4158.3725960000002</v>
      </c>
      <c r="C22" s="23">
        <v>4883.7672849999999</v>
      </c>
      <c r="D22" s="23">
        <v>4724.5135460000001</v>
      </c>
      <c r="E22" s="23">
        <v>4808.2375200000006</v>
      </c>
      <c r="F22" s="23">
        <v>4523.0879539999996</v>
      </c>
      <c r="G22" s="23">
        <v>4818.5115160000005</v>
      </c>
      <c r="H22" s="23">
        <v>4892.5706890000001</v>
      </c>
      <c r="I22" s="23">
        <v>4442.1168369999996</v>
      </c>
      <c r="J22" s="23">
        <v>4719.6772070000006</v>
      </c>
      <c r="K22" s="23">
        <v>4700.0373470000004</v>
      </c>
      <c r="L22" s="23">
        <v>4628.3501420000002</v>
      </c>
      <c r="M22" s="23">
        <v>4700.4137559999999</v>
      </c>
      <c r="N22" s="23">
        <v>4520.6054469999999</v>
      </c>
      <c r="O22" s="23">
        <v>4515.2288289999997</v>
      </c>
      <c r="P22" s="23">
        <v>4648.6752299999998</v>
      </c>
      <c r="Q22" s="23">
        <v>4672.2991309999998</v>
      </c>
      <c r="R22" s="23">
        <v>4436.2052240000003</v>
      </c>
      <c r="S22" s="23">
        <v>4152.7852039999998</v>
      </c>
      <c r="T22" s="23">
        <v>4344.6205060000002</v>
      </c>
      <c r="U22" s="23">
        <v>4155.1773000000003</v>
      </c>
      <c r="V22" s="23">
        <v>4308.8230130000002</v>
      </c>
      <c r="W22" s="23">
        <v>4097.9384749999999</v>
      </c>
      <c r="X22" s="23">
        <v>4092.9131640000001</v>
      </c>
      <c r="Y22" s="23">
        <v>4143.0075710000001</v>
      </c>
      <c r="Z22" s="23">
        <v>4053.122754</v>
      </c>
      <c r="AA22" s="23">
        <v>4112.6505060000009</v>
      </c>
      <c r="AB22" s="23">
        <v>3603.9720110000003</v>
      </c>
      <c r="AC22" s="23">
        <v>3870.9704149999998</v>
      </c>
      <c r="AD22" s="23">
        <v>4415.4360569999999</v>
      </c>
      <c r="AE22" s="23">
        <v>4212.4634969999997</v>
      </c>
      <c r="AF22" s="23">
        <v>4271.0826460000008</v>
      </c>
      <c r="AG22" s="23">
        <v>4071.8008620000001</v>
      </c>
      <c r="AH22" s="23">
        <v>4242.8095940000003</v>
      </c>
      <c r="AI22" s="23">
        <v>4186.5225389999996</v>
      </c>
      <c r="AJ22" s="23">
        <v>4231.079487</v>
      </c>
      <c r="AK22" s="23">
        <v>4299.4147409999996</v>
      </c>
      <c r="AL22" s="23">
        <v>4420.7541209999999</v>
      </c>
      <c r="AM22" s="23">
        <v>4612.9674130000003</v>
      </c>
      <c r="AN22" s="23">
        <v>4735.2055909999999</v>
      </c>
      <c r="AO22" s="23">
        <v>4743.52664</v>
      </c>
      <c r="AP22" s="23">
        <v>4725.0998680000002</v>
      </c>
      <c r="AQ22" s="23">
        <v>4820.1409320000002</v>
      </c>
      <c r="AR22" s="23">
        <v>4826.9170679999997</v>
      </c>
      <c r="AS22" s="23">
        <v>4675.3263260000003</v>
      </c>
      <c r="AT22" s="23">
        <v>4767.2618060000004</v>
      </c>
      <c r="AU22" s="23">
        <v>4878.2114519999996</v>
      </c>
      <c r="AV22" s="23">
        <v>4609.3509020000001</v>
      </c>
      <c r="AW22" s="23">
        <v>4741.5941080000002</v>
      </c>
      <c r="AX22" s="23">
        <v>4637.9704069999998</v>
      </c>
      <c r="AY22" s="23">
        <v>4634.1755279999998</v>
      </c>
      <c r="AZ22" s="23">
        <v>4681.6065740000004</v>
      </c>
      <c r="BA22" s="23">
        <v>3872.6083509999999</v>
      </c>
    </row>
    <row r="23" spans="1:53" s="47" customFormat="1" ht="13.5" thickTop="1" x14ac:dyDescent="0.2"/>
    <row r="24" spans="1:53" s="47" customFormat="1" ht="15" x14ac:dyDescent="0.25">
      <c r="M24" s="80"/>
    </row>
    <row r="25" spans="1:53" s="47" customFormat="1" x14ac:dyDescent="0.2"/>
    <row r="26" spans="1:53" s="47" customFormat="1" x14ac:dyDescent="0.2"/>
    <row r="27" spans="1:53" s="47" customFormat="1" x14ac:dyDescent="0.2"/>
    <row r="28" spans="1:53" s="47" customFormat="1" x14ac:dyDescent="0.2"/>
    <row r="29" spans="1:53" s="47" customFormat="1" x14ac:dyDescent="0.2"/>
    <row r="30" spans="1:53" s="47" customFormat="1" x14ac:dyDescent="0.2"/>
    <row r="31" spans="1:53" s="47" customFormat="1" x14ac:dyDescent="0.2"/>
    <row r="32" spans="1:53" s="47" customFormat="1" x14ac:dyDescent="0.2"/>
    <row r="33" s="47" customFormat="1" x14ac:dyDescent="0.2"/>
    <row r="34" s="47" customFormat="1" x14ac:dyDescent="0.2"/>
    <row r="35" s="47" customFormat="1" x14ac:dyDescent="0.2"/>
    <row r="36" s="47" customFormat="1" x14ac:dyDescent="0.2"/>
    <row r="37" s="47" customFormat="1" x14ac:dyDescent="0.2"/>
    <row r="38" s="47" customFormat="1" x14ac:dyDescent="0.2"/>
    <row r="39" s="47" customFormat="1" x14ac:dyDescent="0.2"/>
    <row r="40" s="47" customFormat="1" x14ac:dyDescent="0.2"/>
    <row r="41" s="47" customFormat="1" x14ac:dyDescent="0.2"/>
    <row r="42" s="47" customFormat="1" x14ac:dyDescent="0.2"/>
    <row r="43" s="47" customFormat="1" x14ac:dyDescent="0.2"/>
    <row r="44" s="47" customFormat="1" x14ac:dyDescent="0.2"/>
    <row r="45" s="47" customFormat="1" x14ac:dyDescent="0.2"/>
    <row r="46" s="47" customFormat="1" x14ac:dyDescent="0.2"/>
    <row r="47" s="47" customFormat="1" x14ac:dyDescent="0.2"/>
    <row r="48" s="47" customFormat="1" x14ac:dyDescent="0.2"/>
    <row r="49" s="47" customFormat="1" x14ac:dyDescent="0.2"/>
    <row r="50" s="47" customFormat="1" x14ac:dyDescent="0.2"/>
    <row r="51" s="47" customFormat="1" x14ac:dyDescent="0.2"/>
    <row r="52" s="47" customFormat="1" x14ac:dyDescent="0.2"/>
    <row r="53" s="47" customFormat="1" x14ac:dyDescent="0.2"/>
    <row r="54" s="47" customFormat="1" x14ac:dyDescent="0.2"/>
  </sheetData>
  <sheetProtection algorithmName="SHA-512" hashValue="GWx1EQZSFp/0PzOPXPTMzOJVwnFPR0chwBi5UjfMP5pAMoATXkZG/PXQgR369pM6PyL5XmplL6h6zLaD9OMrwg==" saltValue="ffT2Sw4vhdRjBHTreckY5A==" spinCount="100000" sheet="1" objects="1" scenarios="1"/>
  <mergeCells count="1">
    <mergeCell ref="A1:BA1"/>
  </mergeCells>
  <pageMargins left="0.17" right="0.17" top="0.17" bottom="0.5" header="0.17" footer="0.5"/>
  <pageSetup scale="70" fitToWidth="0" orientation="landscape" r:id="rId1"/>
  <headerFooter alignWithMargins="0"/>
  <colBreaks count="3" manualBreakCount="3">
    <brk id="14" max="48" man="1"/>
    <brk id="27" max="48" man="1"/>
    <brk id="40" max="48"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26662-A5BC-4F43-ADA3-BDCA86DFA24C}">
  <sheetPr codeName="Sheet19">
    <tabColor rgb="FF92D050"/>
  </sheetPr>
  <dimension ref="A1:BB54"/>
  <sheetViews>
    <sheetView zoomScaleNormal="100" workbookViewId="0">
      <pane xSplit="1" ySplit="3" topLeftCell="B4" activePane="bottomRight" state="frozen"/>
      <selection activeCell="C22" sqref="C22"/>
      <selection pane="topRight" activeCell="C22" sqref="C22"/>
      <selection pane="bottomLeft" activeCell="C22" sqref="C22"/>
      <selection pane="bottomRight" activeCell="C22" sqref="C22"/>
    </sheetView>
  </sheetViews>
  <sheetFormatPr defaultColWidth="6.7109375" defaultRowHeight="12.75" x14ac:dyDescent="0.2"/>
  <cols>
    <col min="1" max="1" width="50.42578125" style="42" bestFit="1" customWidth="1"/>
    <col min="2" max="2" width="9.42578125" style="43" customWidth="1"/>
    <col min="3" max="52" width="9.42578125" style="42" customWidth="1"/>
    <col min="53" max="53" width="9.5703125" style="42" bestFit="1" customWidth="1"/>
    <col min="54" max="16384" width="6.7109375" style="42"/>
  </cols>
  <sheetData>
    <row r="1" spans="1:54" ht="23.25" x14ac:dyDescent="0.35">
      <c r="A1" s="145" t="s">
        <v>226</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c r="AE1" s="145"/>
      <c r="AF1" s="145"/>
      <c r="AG1" s="145"/>
      <c r="AH1" s="145"/>
      <c r="AI1" s="145"/>
      <c r="AJ1" s="145"/>
      <c r="AK1" s="145"/>
      <c r="AL1" s="145"/>
      <c r="AM1" s="145"/>
      <c r="AN1" s="145"/>
      <c r="AO1" s="145"/>
      <c r="AP1" s="145"/>
      <c r="AQ1" s="145"/>
      <c r="AR1" s="145"/>
      <c r="AS1" s="145"/>
      <c r="AT1" s="145"/>
      <c r="AU1" s="145"/>
      <c r="AV1" s="145"/>
      <c r="AW1" s="145"/>
      <c r="AX1" s="145"/>
      <c r="AY1" s="145"/>
      <c r="AZ1" s="145"/>
      <c r="BA1" s="145"/>
    </row>
    <row r="2" spans="1:54" ht="13.5" thickBot="1" x14ac:dyDescent="0.25">
      <c r="A2" s="7" t="s">
        <v>223</v>
      </c>
      <c r="B2" s="5">
        <v>1</v>
      </c>
      <c r="C2" s="5">
        <v>2</v>
      </c>
      <c r="D2" s="5">
        <v>3</v>
      </c>
      <c r="E2" s="5">
        <v>4</v>
      </c>
      <c r="F2" s="5">
        <v>5</v>
      </c>
      <c r="G2" s="5">
        <v>6</v>
      </c>
      <c r="H2" s="5">
        <v>7</v>
      </c>
      <c r="I2" s="5">
        <v>8</v>
      </c>
      <c r="J2" s="5">
        <v>9</v>
      </c>
      <c r="K2" s="5">
        <v>10</v>
      </c>
      <c r="L2" s="5">
        <v>11</v>
      </c>
      <c r="M2" s="5">
        <v>12</v>
      </c>
      <c r="N2" s="5">
        <v>13</v>
      </c>
      <c r="O2" s="5">
        <v>14</v>
      </c>
      <c r="P2" s="5">
        <v>15</v>
      </c>
      <c r="Q2" s="5">
        <v>16</v>
      </c>
      <c r="R2" s="5">
        <v>17</v>
      </c>
      <c r="S2" s="5">
        <v>18</v>
      </c>
      <c r="T2" s="5">
        <v>19</v>
      </c>
      <c r="U2" s="5">
        <v>20</v>
      </c>
      <c r="V2" s="5">
        <v>21</v>
      </c>
      <c r="W2" s="5">
        <v>22</v>
      </c>
      <c r="X2" s="5">
        <v>23</v>
      </c>
      <c r="Y2" s="5">
        <v>24</v>
      </c>
      <c r="Z2" s="5">
        <v>25</v>
      </c>
      <c r="AA2" s="5">
        <v>26</v>
      </c>
      <c r="AB2" s="5">
        <v>27</v>
      </c>
      <c r="AC2" s="5">
        <v>28</v>
      </c>
      <c r="AD2" s="5">
        <v>29</v>
      </c>
      <c r="AE2" s="5">
        <v>30</v>
      </c>
      <c r="AF2" s="5">
        <v>31</v>
      </c>
      <c r="AG2" s="5">
        <v>32</v>
      </c>
      <c r="AH2" s="5">
        <v>33</v>
      </c>
      <c r="AI2" s="5">
        <v>34</v>
      </c>
      <c r="AJ2" s="5">
        <v>35</v>
      </c>
      <c r="AK2" s="5">
        <v>36</v>
      </c>
      <c r="AL2" s="5">
        <v>37</v>
      </c>
      <c r="AM2" s="5">
        <v>38</v>
      </c>
      <c r="AN2" s="5">
        <v>39</v>
      </c>
      <c r="AO2" s="5">
        <v>40</v>
      </c>
      <c r="AP2" s="5">
        <v>41</v>
      </c>
      <c r="AQ2" s="5">
        <v>42</v>
      </c>
      <c r="AR2" s="5">
        <v>43</v>
      </c>
      <c r="AS2" s="5">
        <v>44</v>
      </c>
      <c r="AT2" s="5">
        <v>45</v>
      </c>
      <c r="AU2" s="5">
        <v>46</v>
      </c>
      <c r="AV2" s="5">
        <v>47</v>
      </c>
      <c r="AW2" s="5">
        <v>48</v>
      </c>
      <c r="AX2" s="5">
        <v>49</v>
      </c>
      <c r="AY2" s="5">
        <v>50</v>
      </c>
      <c r="AZ2" s="5">
        <v>51</v>
      </c>
      <c r="BA2" s="5">
        <v>52</v>
      </c>
    </row>
    <row r="3" spans="1:54" s="45" customFormat="1" ht="24.75" thickBot="1" x14ac:dyDescent="0.25">
      <c r="A3" s="50" t="s">
        <v>179</v>
      </c>
      <c r="B3" s="51">
        <v>44563</v>
      </c>
      <c r="C3" s="51">
        <v>44570</v>
      </c>
      <c r="D3" s="51">
        <v>44577</v>
      </c>
      <c r="E3" s="51">
        <v>44584</v>
      </c>
      <c r="F3" s="51">
        <v>44591</v>
      </c>
      <c r="G3" s="51">
        <v>44598</v>
      </c>
      <c r="H3" s="51">
        <v>44605</v>
      </c>
      <c r="I3" s="51">
        <v>44612</v>
      </c>
      <c r="J3" s="51">
        <v>44619</v>
      </c>
      <c r="K3" s="51">
        <v>44626</v>
      </c>
      <c r="L3" s="51">
        <v>44633</v>
      </c>
      <c r="M3" s="51">
        <v>44640</v>
      </c>
      <c r="N3" s="51">
        <v>44647</v>
      </c>
      <c r="O3" s="51">
        <v>44654</v>
      </c>
      <c r="P3" s="51">
        <v>44661</v>
      </c>
      <c r="Q3" s="51">
        <v>44668</v>
      </c>
      <c r="R3" s="51">
        <v>44675</v>
      </c>
      <c r="S3" s="51">
        <v>44682</v>
      </c>
      <c r="T3" s="51">
        <v>44689</v>
      </c>
      <c r="U3" s="51">
        <v>44696</v>
      </c>
      <c r="V3" s="51">
        <v>44703</v>
      </c>
      <c r="W3" s="51">
        <v>44710</v>
      </c>
      <c r="X3" s="51">
        <v>44717</v>
      </c>
      <c r="Y3" s="51">
        <v>44724</v>
      </c>
      <c r="Z3" s="51">
        <v>44731</v>
      </c>
      <c r="AA3" s="51">
        <v>44738</v>
      </c>
      <c r="AB3" s="51">
        <v>44745</v>
      </c>
      <c r="AC3" s="51">
        <v>44752</v>
      </c>
      <c r="AD3" s="51">
        <v>44759</v>
      </c>
      <c r="AE3" s="51">
        <v>44766</v>
      </c>
      <c r="AF3" s="51">
        <v>44773</v>
      </c>
      <c r="AG3" s="51">
        <v>44780</v>
      </c>
      <c r="AH3" s="51">
        <v>44787</v>
      </c>
      <c r="AI3" s="51">
        <v>44794</v>
      </c>
      <c r="AJ3" s="51">
        <v>44801</v>
      </c>
      <c r="AK3" s="51">
        <v>44808</v>
      </c>
      <c r="AL3" s="51">
        <v>44815</v>
      </c>
      <c r="AM3" s="51">
        <v>44822</v>
      </c>
      <c r="AN3" s="51">
        <v>44829</v>
      </c>
      <c r="AO3" s="51">
        <v>44836</v>
      </c>
      <c r="AP3" s="51">
        <v>44843</v>
      </c>
      <c r="AQ3" s="51">
        <v>44850</v>
      </c>
      <c r="AR3" s="51">
        <v>44857</v>
      </c>
      <c r="AS3" s="51">
        <v>44864</v>
      </c>
      <c r="AT3" s="51">
        <v>44871</v>
      </c>
      <c r="AU3" s="51">
        <v>44878</v>
      </c>
      <c r="AV3" s="51">
        <v>44885</v>
      </c>
      <c r="AW3" s="51">
        <v>44892</v>
      </c>
      <c r="AX3" s="51">
        <v>44899</v>
      </c>
      <c r="AY3" s="51">
        <v>44906</v>
      </c>
      <c r="AZ3" s="51">
        <v>44913</v>
      </c>
      <c r="BA3" s="51">
        <v>44920</v>
      </c>
      <c r="BB3" s="52"/>
    </row>
    <row r="4" spans="1:54" s="47" customFormat="1" x14ac:dyDescent="0.2">
      <c r="A4" s="73" t="s">
        <v>173</v>
      </c>
    </row>
    <row r="5" spans="1:54" s="47" customFormat="1" x14ac:dyDescent="0.2">
      <c r="A5" s="74" t="s">
        <v>155</v>
      </c>
      <c r="B5" s="75">
        <v>5454</v>
      </c>
      <c r="C5" s="75">
        <v>6101</v>
      </c>
      <c r="D5" s="75">
        <v>6153</v>
      </c>
      <c r="E5" s="75">
        <v>6331</v>
      </c>
      <c r="F5" s="75">
        <v>5508</v>
      </c>
      <c r="G5" s="75">
        <v>6226</v>
      </c>
      <c r="H5" s="75">
        <v>6020</v>
      </c>
      <c r="I5" s="75">
        <v>5672</v>
      </c>
      <c r="J5" s="75">
        <v>6110</v>
      </c>
      <c r="K5" s="75">
        <v>6443</v>
      </c>
      <c r="L5" s="75">
        <v>6189</v>
      </c>
      <c r="M5" s="75">
        <v>6670</v>
      </c>
      <c r="N5" s="75">
        <v>6599</v>
      </c>
      <c r="O5" s="75">
        <v>6316</v>
      </c>
      <c r="P5" s="75">
        <v>6490</v>
      </c>
      <c r="Q5" s="75">
        <v>6718</v>
      </c>
      <c r="R5" s="75">
        <v>6812</v>
      </c>
      <c r="S5" s="75">
        <v>6647</v>
      </c>
      <c r="T5" s="75">
        <v>6583</v>
      </c>
      <c r="U5" s="75">
        <v>6803</v>
      </c>
      <c r="V5" s="75">
        <v>6745</v>
      </c>
      <c r="W5" s="75">
        <v>6532</v>
      </c>
      <c r="X5" s="75">
        <v>6528</v>
      </c>
      <c r="Y5" s="75">
        <v>6576</v>
      </c>
      <c r="Z5" s="75">
        <v>6363</v>
      </c>
      <c r="AA5" s="75">
        <v>6402</v>
      </c>
      <c r="AB5" s="75">
        <v>6787</v>
      </c>
      <c r="AC5" s="75">
        <v>6356</v>
      </c>
      <c r="AD5" s="75">
        <v>6334</v>
      </c>
      <c r="AE5" s="75">
        <v>6618</v>
      </c>
      <c r="AF5" s="75">
        <v>6284</v>
      </c>
      <c r="AG5" s="75">
        <v>6318</v>
      </c>
      <c r="AH5" s="75">
        <v>6589</v>
      </c>
      <c r="AI5" s="75">
        <v>6655</v>
      </c>
      <c r="AJ5" s="75">
        <v>6733</v>
      </c>
      <c r="AK5" s="75">
        <v>6394</v>
      </c>
      <c r="AL5" s="75">
        <v>6415</v>
      </c>
      <c r="AM5" s="75">
        <v>6689</v>
      </c>
      <c r="AN5" s="75">
        <v>6544</v>
      </c>
      <c r="AO5" s="75">
        <v>6581</v>
      </c>
      <c r="AP5" s="75">
        <v>6348</v>
      </c>
      <c r="AQ5" s="75">
        <v>6480</v>
      </c>
      <c r="AR5" s="75">
        <v>6499</v>
      </c>
      <c r="AS5" s="75">
        <v>6485</v>
      </c>
      <c r="AT5" s="75">
        <v>6179</v>
      </c>
      <c r="AU5" s="75">
        <v>6439</v>
      </c>
      <c r="AV5" s="75">
        <v>6408</v>
      </c>
      <c r="AW5" s="75">
        <v>6422</v>
      </c>
      <c r="AX5" s="75">
        <v>6261</v>
      </c>
      <c r="AY5" s="75">
        <v>6026</v>
      </c>
      <c r="AZ5" s="75">
        <v>5021</v>
      </c>
      <c r="BA5" s="75">
        <v>4405</v>
      </c>
    </row>
    <row r="6" spans="1:54" s="47" customFormat="1" x14ac:dyDescent="0.2">
      <c r="A6" s="76" t="s">
        <v>157</v>
      </c>
      <c r="B6" s="75">
        <v>11114</v>
      </c>
      <c r="C6" s="75">
        <v>12763</v>
      </c>
      <c r="D6" s="75">
        <v>12332</v>
      </c>
      <c r="E6" s="75">
        <v>12815</v>
      </c>
      <c r="F6" s="75">
        <v>11679</v>
      </c>
      <c r="G6" s="75">
        <v>12642</v>
      </c>
      <c r="H6" s="75">
        <v>12720</v>
      </c>
      <c r="I6" s="75">
        <v>12050</v>
      </c>
      <c r="J6" s="75">
        <v>12551</v>
      </c>
      <c r="K6" s="75">
        <v>12215</v>
      </c>
      <c r="L6" s="75">
        <v>13213</v>
      </c>
      <c r="M6" s="75">
        <v>13274</v>
      </c>
      <c r="N6" s="75">
        <v>11919</v>
      </c>
      <c r="O6" s="75">
        <v>12787</v>
      </c>
      <c r="P6" s="75">
        <v>12034</v>
      </c>
      <c r="Q6" s="75">
        <v>11944</v>
      </c>
      <c r="R6" s="75">
        <v>12630</v>
      </c>
      <c r="S6" s="75">
        <v>11579</v>
      </c>
      <c r="T6" s="75">
        <v>12265</v>
      </c>
      <c r="U6" s="75">
        <v>12925</v>
      </c>
      <c r="V6" s="75">
        <v>12926</v>
      </c>
      <c r="W6" s="75">
        <v>12017</v>
      </c>
      <c r="X6" s="75">
        <v>12250</v>
      </c>
      <c r="Y6" s="75">
        <v>12953</v>
      </c>
      <c r="Z6" s="75">
        <v>12688</v>
      </c>
      <c r="AA6" s="75">
        <v>12839</v>
      </c>
      <c r="AB6" s="75">
        <v>12179</v>
      </c>
      <c r="AC6" s="75">
        <v>13335</v>
      </c>
      <c r="AD6" s="75">
        <v>12862</v>
      </c>
      <c r="AE6" s="75">
        <v>12335</v>
      </c>
      <c r="AF6" s="75">
        <v>11993</v>
      </c>
      <c r="AG6" s="75">
        <v>12559</v>
      </c>
      <c r="AH6" s="75">
        <v>12576</v>
      </c>
      <c r="AI6" s="75">
        <v>11939</v>
      </c>
      <c r="AJ6" s="75">
        <v>12287</v>
      </c>
      <c r="AK6" s="75">
        <v>11665</v>
      </c>
      <c r="AL6" s="75">
        <v>11924</v>
      </c>
      <c r="AM6" s="75">
        <v>11795</v>
      </c>
      <c r="AN6" s="75">
        <v>11827</v>
      </c>
      <c r="AO6" s="75">
        <v>12133</v>
      </c>
      <c r="AP6" s="75">
        <v>11408</v>
      </c>
      <c r="AQ6" s="75">
        <v>11732</v>
      </c>
      <c r="AR6" s="75">
        <v>12040</v>
      </c>
      <c r="AS6" s="75">
        <v>11921</v>
      </c>
      <c r="AT6" s="75">
        <v>12139</v>
      </c>
      <c r="AU6" s="75">
        <v>12167</v>
      </c>
      <c r="AV6" s="75">
        <v>11805</v>
      </c>
      <c r="AW6" s="75">
        <v>12486</v>
      </c>
      <c r="AX6" s="75">
        <v>11629</v>
      </c>
      <c r="AY6" s="75">
        <v>11940</v>
      </c>
      <c r="AZ6" s="75">
        <v>10154</v>
      </c>
      <c r="BA6" s="75">
        <v>11045</v>
      </c>
    </row>
    <row r="7" spans="1:54" s="47" customFormat="1" x14ac:dyDescent="0.2">
      <c r="A7" s="76" t="s">
        <v>159</v>
      </c>
      <c r="B7" s="75">
        <v>15869</v>
      </c>
      <c r="C7" s="75">
        <v>16594</v>
      </c>
      <c r="D7" s="75">
        <v>15461</v>
      </c>
      <c r="E7" s="75">
        <v>17134</v>
      </c>
      <c r="F7" s="75">
        <v>17585</v>
      </c>
      <c r="G7" s="75">
        <v>16226</v>
      </c>
      <c r="H7" s="75">
        <v>17051</v>
      </c>
      <c r="I7" s="75">
        <v>15660</v>
      </c>
      <c r="J7" s="75">
        <v>16431</v>
      </c>
      <c r="K7" s="75">
        <v>16066</v>
      </c>
      <c r="L7" s="75">
        <v>17751</v>
      </c>
      <c r="M7" s="75">
        <v>19973</v>
      </c>
      <c r="N7" s="75">
        <v>20435</v>
      </c>
      <c r="O7" s="75">
        <v>18374</v>
      </c>
      <c r="P7" s="75">
        <v>17783</v>
      </c>
      <c r="Q7" s="75">
        <v>18241</v>
      </c>
      <c r="R7" s="75">
        <v>18332</v>
      </c>
      <c r="S7" s="75">
        <v>17937</v>
      </c>
      <c r="T7" s="75">
        <v>18086</v>
      </c>
      <c r="U7" s="75">
        <v>19465</v>
      </c>
      <c r="V7" s="75">
        <v>19100</v>
      </c>
      <c r="W7" s="75">
        <v>18651</v>
      </c>
      <c r="X7" s="75">
        <v>19647</v>
      </c>
      <c r="Y7" s="75">
        <v>18671</v>
      </c>
      <c r="Z7" s="75">
        <v>18370</v>
      </c>
      <c r="AA7" s="75">
        <v>19898</v>
      </c>
      <c r="AB7" s="75">
        <v>19868</v>
      </c>
      <c r="AC7" s="75">
        <v>18860</v>
      </c>
      <c r="AD7" s="75">
        <v>18696</v>
      </c>
      <c r="AE7" s="75">
        <v>17917</v>
      </c>
      <c r="AF7" s="75">
        <v>19856</v>
      </c>
      <c r="AG7" s="75">
        <v>20232</v>
      </c>
      <c r="AH7" s="75">
        <v>20610</v>
      </c>
      <c r="AI7" s="75">
        <v>20712</v>
      </c>
      <c r="AJ7" s="75">
        <v>20105</v>
      </c>
      <c r="AK7" s="75">
        <v>19587</v>
      </c>
      <c r="AL7" s="75">
        <v>19514</v>
      </c>
      <c r="AM7" s="75">
        <v>20443</v>
      </c>
      <c r="AN7" s="75">
        <v>20598</v>
      </c>
      <c r="AO7" s="75">
        <v>19992</v>
      </c>
      <c r="AP7" s="75">
        <v>20649</v>
      </c>
      <c r="AQ7" s="75">
        <v>19280</v>
      </c>
      <c r="AR7" s="75">
        <v>17023</v>
      </c>
      <c r="AS7" s="75">
        <v>17673</v>
      </c>
      <c r="AT7" s="75">
        <v>18552</v>
      </c>
      <c r="AU7" s="75">
        <v>18910</v>
      </c>
      <c r="AV7" s="75">
        <v>19769</v>
      </c>
      <c r="AW7" s="75">
        <v>19601</v>
      </c>
      <c r="AX7" s="75">
        <v>18829</v>
      </c>
      <c r="AY7" s="75">
        <v>17397</v>
      </c>
      <c r="AZ7" s="75">
        <v>15216</v>
      </c>
      <c r="BA7" s="75">
        <v>14998</v>
      </c>
    </row>
    <row r="8" spans="1:54" s="47" customFormat="1" x14ac:dyDescent="0.2">
      <c r="A8" s="76" t="s">
        <v>161</v>
      </c>
      <c r="B8" s="75">
        <v>3146</v>
      </c>
      <c r="C8" s="75">
        <v>3928</v>
      </c>
      <c r="D8" s="75">
        <v>3446</v>
      </c>
      <c r="E8" s="75">
        <v>3329</v>
      </c>
      <c r="F8" s="75">
        <v>2931</v>
      </c>
      <c r="G8" s="75">
        <v>3859</v>
      </c>
      <c r="H8" s="75">
        <v>3467</v>
      </c>
      <c r="I8" s="75">
        <v>3647</v>
      </c>
      <c r="J8" s="75">
        <v>3908</v>
      </c>
      <c r="K8" s="75">
        <v>4421</v>
      </c>
      <c r="L8" s="75">
        <v>4302</v>
      </c>
      <c r="M8" s="75">
        <v>4357</v>
      </c>
      <c r="N8" s="75">
        <v>3959</v>
      </c>
      <c r="O8" s="75">
        <v>4208</v>
      </c>
      <c r="P8" s="75">
        <v>4401</v>
      </c>
      <c r="Q8" s="75">
        <v>4529</v>
      </c>
      <c r="R8" s="75">
        <v>4555</v>
      </c>
      <c r="S8" s="75">
        <v>4381</v>
      </c>
      <c r="T8" s="75">
        <v>4092</v>
      </c>
      <c r="U8" s="75">
        <v>4046</v>
      </c>
      <c r="V8" s="75">
        <v>4316</v>
      </c>
      <c r="W8" s="75">
        <v>3864</v>
      </c>
      <c r="X8" s="75">
        <v>4256</v>
      </c>
      <c r="Y8" s="75">
        <v>4148</v>
      </c>
      <c r="Z8" s="75">
        <v>4116</v>
      </c>
      <c r="AA8" s="75">
        <v>4273</v>
      </c>
      <c r="AB8" s="75">
        <v>2895</v>
      </c>
      <c r="AC8" s="75">
        <v>3799</v>
      </c>
      <c r="AD8" s="75">
        <v>3834</v>
      </c>
      <c r="AE8" s="75">
        <v>3983</v>
      </c>
      <c r="AF8" s="75">
        <v>3962</v>
      </c>
      <c r="AG8" s="75">
        <v>3932</v>
      </c>
      <c r="AH8" s="75">
        <v>3903</v>
      </c>
      <c r="AI8" s="75">
        <v>4085</v>
      </c>
      <c r="AJ8" s="75">
        <v>4243</v>
      </c>
      <c r="AK8" s="75">
        <v>3889</v>
      </c>
      <c r="AL8" s="75">
        <v>3810</v>
      </c>
      <c r="AM8" s="75">
        <v>4074</v>
      </c>
      <c r="AN8" s="75">
        <v>4449</v>
      </c>
      <c r="AO8" s="75">
        <v>4011</v>
      </c>
      <c r="AP8" s="75">
        <v>4119</v>
      </c>
      <c r="AQ8" s="75">
        <v>3996</v>
      </c>
      <c r="AR8" s="75">
        <v>4620</v>
      </c>
      <c r="AS8" s="75">
        <v>4411</v>
      </c>
      <c r="AT8" s="75">
        <v>4057</v>
      </c>
      <c r="AU8" s="75">
        <v>4266</v>
      </c>
      <c r="AV8" s="75">
        <v>3727</v>
      </c>
      <c r="AW8" s="75">
        <v>4569</v>
      </c>
      <c r="AX8" s="75">
        <v>4287</v>
      </c>
      <c r="AY8" s="75">
        <v>4290</v>
      </c>
      <c r="AZ8" s="75">
        <v>3610</v>
      </c>
      <c r="BA8" s="75">
        <v>2790</v>
      </c>
    </row>
    <row r="9" spans="1:54" s="47" customFormat="1" x14ac:dyDescent="0.2">
      <c r="A9" s="76" t="s">
        <v>163</v>
      </c>
      <c r="B9" s="75">
        <v>6246</v>
      </c>
      <c r="C9" s="75">
        <v>7422</v>
      </c>
      <c r="D9" s="75">
        <v>8779</v>
      </c>
      <c r="E9" s="75">
        <v>9621</v>
      </c>
      <c r="F9" s="75">
        <v>10264</v>
      </c>
      <c r="G9" s="75">
        <v>10039</v>
      </c>
      <c r="H9" s="75">
        <v>9397</v>
      </c>
      <c r="I9" s="75">
        <v>8962</v>
      </c>
      <c r="J9" s="75">
        <v>9699</v>
      </c>
      <c r="K9" s="75">
        <v>9906</v>
      </c>
      <c r="L9" s="75">
        <v>10354</v>
      </c>
      <c r="M9" s="75">
        <v>9442</v>
      </c>
      <c r="N9" s="75">
        <v>10285</v>
      </c>
      <c r="O9" s="75">
        <v>10307</v>
      </c>
      <c r="P9" s="75">
        <v>10939</v>
      </c>
      <c r="Q9" s="75">
        <v>10721</v>
      </c>
      <c r="R9" s="75">
        <v>10684</v>
      </c>
      <c r="S9" s="75">
        <v>10625</v>
      </c>
      <c r="T9" s="75">
        <v>10851</v>
      </c>
      <c r="U9" s="75">
        <v>9071</v>
      </c>
      <c r="V9" s="75">
        <v>9573</v>
      </c>
      <c r="W9" s="75">
        <v>8330</v>
      </c>
      <c r="X9" s="75">
        <v>8691</v>
      </c>
      <c r="Y9" s="75">
        <v>9952</v>
      </c>
      <c r="Z9" s="75">
        <v>8587</v>
      </c>
      <c r="AA9" s="75">
        <v>10387</v>
      </c>
      <c r="AB9" s="75">
        <v>8464</v>
      </c>
      <c r="AC9" s="75">
        <v>9823</v>
      </c>
      <c r="AD9" s="75">
        <v>9349</v>
      </c>
      <c r="AE9" s="75">
        <v>10676</v>
      </c>
      <c r="AF9" s="75">
        <v>10173</v>
      </c>
      <c r="AG9" s="75">
        <v>9991</v>
      </c>
      <c r="AH9" s="75">
        <v>11369</v>
      </c>
      <c r="AI9" s="75">
        <v>11252</v>
      </c>
      <c r="AJ9" s="75">
        <v>9697</v>
      </c>
      <c r="AK9" s="75">
        <v>10283</v>
      </c>
      <c r="AL9" s="75">
        <v>10939</v>
      </c>
      <c r="AM9" s="75">
        <v>7381</v>
      </c>
      <c r="AN9" s="75">
        <v>9423</v>
      </c>
      <c r="AO9" s="75">
        <v>9256</v>
      </c>
      <c r="AP9" s="75">
        <v>10329</v>
      </c>
      <c r="AQ9" s="75">
        <v>11430</v>
      </c>
      <c r="AR9" s="75">
        <v>10837</v>
      </c>
      <c r="AS9" s="75">
        <v>11120</v>
      </c>
      <c r="AT9" s="75">
        <v>9385</v>
      </c>
      <c r="AU9" s="75">
        <v>9996</v>
      </c>
      <c r="AV9" s="75">
        <v>11055</v>
      </c>
      <c r="AW9" s="75">
        <v>9130</v>
      </c>
      <c r="AX9" s="75">
        <v>11072</v>
      </c>
      <c r="AY9" s="75">
        <v>9088</v>
      </c>
      <c r="AZ9" s="75">
        <v>5529</v>
      </c>
      <c r="BA9" s="75">
        <v>5991</v>
      </c>
    </row>
    <row r="10" spans="1:54" s="47" customFormat="1" x14ac:dyDescent="0.2">
      <c r="A10" s="77" t="s">
        <v>165</v>
      </c>
      <c r="B10" s="75">
        <v>10257</v>
      </c>
      <c r="C10" s="75">
        <v>9892</v>
      </c>
      <c r="D10" s="75">
        <v>10324</v>
      </c>
      <c r="E10" s="75">
        <v>11361</v>
      </c>
      <c r="F10" s="75">
        <v>9751</v>
      </c>
      <c r="G10" s="75">
        <v>11629</v>
      </c>
      <c r="H10" s="75">
        <v>11309</v>
      </c>
      <c r="I10" s="75">
        <v>11911</v>
      </c>
      <c r="J10" s="75">
        <v>12004</v>
      </c>
      <c r="K10" s="75">
        <v>11457</v>
      </c>
      <c r="L10" s="75">
        <v>11274</v>
      </c>
      <c r="M10" s="75">
        <v>12878</v>
      </c>
      <c r="N10" s="75">
        <v>12705</v>
      </c>
      <c r="O10" s="75">
        <v>12614</v>
      </c>
      <c r="P10" s="75">
        <v>11349</v>
      </c>
      <c r="Q10" s="75">
        <v>11312</v>
      </c>
      <c r="R10" s="75">
        <v>10974</v>
      </c>
      <c r="S10" s="75">
        <v>11523</v>
      </c>
      <c r="T10" s="75">
        <v>11069</v>
      </c>
      <c r="U10" s="75">
        <v>9664</v>
      </c>
      <c r="V10" s="75">
        <v>10718</v>
      </c>
      <c r="W10" s="75">
        <v>10273</v>
      </c>
      <c r="X10" s="75">
        <v>10888</v>
      </c>
      <c r="Y10" s="75">
        <v>10099</v>
      </c>
      <c r="Z10" s="75">
        <v>11093</v>
      </c>
      <c r="AA10" s="75">
        <v>9826</v>
      </c>
      <c r="AB10" s="75">
        <v>9980</v>
      </c>
      <c r="AC10" s="75">
        <v>10822</v>
      </c>
      <c r="AD10" s="75">
        <v>9711</v>
      </c>
      <c r="AE10" s="75">
        <v>9644</v>
      </c>
      <c r="AF10" s="75">
        <v>9186</v>
      </c>
      <c r="AG10" s="75">
        <v>8231</v>
      </c>
      <c r="AH10" s="75">
        <v>9145</v>
      </c>
      <c r="AI10" s="75">
        <v>9684</v>
      </c>
      <c r="AJ10" s="75">
        <v>8930</v>
      </c>
      <c r="AK10" s="75">
        <v>10357</v>
      </c>
      <c r="AL10" s="75">
        <v>12530</v>
      </c>
      <c r="AM10" s="75">
        <v>12195</v>
      </c>
      <c r="AN10" s="75">
        <v>14126</v>
      </c>
      <c r="AO10" s="75">
        <v>15376</v>
      </c>
      <c r="AP10" s="75">
        <v>15730</v>
      </c>
      <c r="AQ10" s="75">
        <v>16679</v>
      </c>
      <c r="AR10" s="75">
        <v>14560</v>
      </c>
      <c r="AS10" s="75">
        <v>15250</v>
      </c>
      <c r="AT10" s="75">
        <v>14635</v>
      </c>
      <c r="AU10" s="75">
        <v>15665</v>
      </c>
      <c r="AV10" s="75">
        <v>15480</v>
      </c>
      <c r="AW10" s="75">
        <v>15383</v>
      </c>
      <c r="AX10" s="75">
        <v>14207</v>
      </c>
      <c r="AY10" s="75">
        <v>14330</v>
      </c>
      <c r="AZ10" s="75">
        <v>11884</v>
      </c>
      <c r="BA10" s="75">
        <v>10308</v>
      </c>
    </row>
    <row r="11" spans="1:54" s="47" customFormat="1" x14ac:dyDescent="0.2">
      <c r="A11" s="76" t="s">
        <v>167</v>
      </c>
      <c r="B11" s="75">
        <v>41486</v>
      </c>
      <c r="C11" s="75">
        <v>45625</v>
      </c>
      <c r="D11" s="75">
        <v>42671</v>
      </c>
      <c r="E11" s="75">
        <v>45981</v>
      </c>
      <c r="F11" s="75">
        <v>43312</v>
      </c>
      <c r="G11" s="75">
        <v>48030</v>
      </c>
      <c r="H11" s="75">
        <v>43862</v>
      </c>
      <c r="I11" s="75">
        <v>43943</v>
      </c>
      <c r="J11" s="75">
        <v>45648</v>
      </c>
      <c r="K11" s="75">
        <v>48738</v>
      </c>
      <c r="L11" s="75">
        <v>48228</v>
      </c>
      <c r="M11" s="75">
        <v>52172</v>
      </c>
      <c r="N11" s="75">
        <v>51162</v>
      </c>
      <c r="O11" s="75">
        <v>54720</v>
      </c>
      <c r="P11" s="75">
        <v>50947</v>
      </c>
      <c r="Q11" s="75">
        <v>52189</v>
      </c>
      <c r="R11" s="75">
        <v>55806</v>
      </c>
      <c r="S11" s="75">
        <v>55854</v>
      </c>
      <c r="T11" s="75">
        <v>53876</v>
      </c>
      <c r="U11" s="75">
        <v>53269</v>
      </c>
      <c r="V11" s="75">
        <v>46488</v>
      </c>
      <c r="W11" s="75">
        <v>45547</v>
      </c>
      <c r="X11" s="75">
        <v>48757</v>
      </c>
      <c r="Y11" s="75">
        <v>48598</v>
      </c>
      <c r="Z11" s="75">
        <v>48136</v>
      </c>
      <c r="AA11" s="75">
        <v>46213</v>
      </c>
      <c r="AB11" s="75">
        <v>43310</v>
      </c>
      <c r="AC11" s="75">
        <v>47708</v>
      </c>
      <c r="AD11" s="75">
        <v>46851</v>
      </c>
      <c r="AE11" s="75">
        <v>50047</v>
      </c>
      <c r="AF11" s="75">
        <v>49410</v>
      </c>
      <c r="AG11" s="75">
        <v>52070</v>
      </c>
      <c r="AH11" s="75">
        <v>50896</v>
      </c>
      <c r="AI11" s="75">
        <v>50790</v>
      </c>
      <c r="AJ11" s="75">
        <v>52839</v>
      </c>
      <c r="AK11" s="75">
        <v>46310</v>
      </c>
      <c r="AL11" s="75">
        <v>50524</v>
      </c>
      <c r="AM11" s="75">
        <v>45525</v>
      </c>
      <c r="AN11" s="75">
        <v>50466</v>
      </c>
      <c r="AO11" s="75">
        <v>49385</v>
      </c>
      <c r="AP11" s="75">
        <v>46424</v>
      </c>
      <c r="AQ11" s="75">
        <v>44938</v>
      </c>
      <c r="AR11" s="75">
        <v>44976</v>
      </c>
      <c r="AS11" s="75">
        <v>45160</v>
      </c>
      <c r="AT11" s="75">
        <v>43749</v>
      </c>
      <c r="AU11" s="75">
        <v>43557</v>
      </c>
      <c r="AV11" s="75">
        <v>41079</v>
      </c>
      <c r="AW11" s="75">
        <v>42822</v>
      </c>
      <c r="AX11" s="75">
        <v>41170</v>
      </c>
      <c r="AY11" s="75">
        <v>42982</v>
      </c>
      <c r="AZ11" s="75">
        <v>31031</v>
      </c>
      <c r="BA11" s="75">
        <v>31551</v>
      </c>
    </row>
    <row r="12" spans="1:54" s="47" customFormat="1" ht="13.5" thickBot="1" x14ac:dyDescent="0.25">
      <c r="A12" s="78" t="s">
        <v>174</v>
      </c>
      <c r="B12" s="23">
        <v>93572</v>
      </c>
      <c r="C12" s="23">
        <v>102325</v>
      </c>
      <c r="D12" s="23">
        <v>99166</v>
      </c>
      <c r="E12" s="23">
        <v>106572</v>
      </c>
      <c r="F12" s="23">
        <v>101030</v>
      </c>
      <c r="G12" s="23">
        <v>108651</v>
      </c>
      <c r="H12" s="23">
        <v>103826</v>
      </c>
      <c r="I12" s="23">
        <v>101845</v>
      </c>
      <c r="J12" s="23">
        <v>106351</v>
      </c>
      <c r="K12" s="23">
        <v>109246</v>
      </c>
      <c r="L12" s="23">
        <v>111311</v>
      </c>
      <c r="M12" s="23">
        <v>118766</v>
      </c>
      <c r="N12" s="23">
        <v>117064</v>
      </c>
      <c r="O12" s="23">
        <v>119326</v>
      </c>
      <c r="P12" s="23">
        <v>113943</v>
      </c>
      <c r="Q12" s="23">
        <v>115654</v>
      </c>
      <c r="R12" s="23">
        <v>119793</v>
      </c>
      <c r="S12" s="23">
        <v>118546</v>
      </c>
      <c r="T12" s="23">
        <v>116822</v>
      </c>
      <c r="U12" s="23">
        <v>115243</v>
      </c>
      <c r="V12" s="23">
        <v>109866</v>
      </c>
      <c r="W12" s="23">
        <v>105214</v>
      </c>
      <c r="X12" s="23">
        <v>111017</v>
      </c>
      <c r="Y12" s="23">
        <v>110997</v>
      </c>
      <c r="Z12" s="23">
        <v>109353</v>
      </c>
      <c r="AA12" s="23">
        <v>109838</v>
      </c>
      <c r="AB12" s="23">
        <v>103483</v>
      </c>
      <c r="AC12" s="23">
        <v>110703</v>
      </c>
      <c r="AD12" s="23">
        <v>107637</v>
      </c>
      <c r="AE12" s="23">
        <v>111220</v>
      </c>
      <c r="AF12" s="23">
        <v>110864</v>
      </c>
      <c r="AG12" s="23">
        <v>113333</v>
      </c>
      <c r="AH12" s="23">
        <v>115088</v>
      </c>
      <c r="AI12" s="23">
        <v>115117</v>
      </c>
      <c r="AJ12" s="23">
        <v>114834</v>
      </c>
      <c r="AK12" s="23">
        <v>108485</v>
      </c>
      <c r="AL12" s="23">
        <v>115656</v>
      </c>
      <c r="AM12" s="23">
        <v>108102</v>
      </c>
      <c r="AN12" s="23">
        <v>117433</v>
      </c>
      <c r="AO12" s="23">
        <v>116734</v>
      </c>
      <c r="AP12" s="23">
        <v>115007</v>
      </c>
      <c r="AQ12" s="23">
        <v>114535</v>
      </c>
      <c r="AR12" s="23">
        <v>110555</v>
      </c>
      <c r="AS12" s="23">
        <v>112020</v>
      </c>
      <c r="AT12" s="23">
        <v>108696</v>
      </c>
      <c r="AU12" s="23">
        <v>111000</v>
      </c>
      <c r="AV12" s="23">
        <v>109323</v>
      </c>
      <c r="AW12" s="23">
        <v>110413</v>
      </c>
      <c r="AX12" s="23">
        <v>107455</v>
      </c>
      <c r="AY12" s="23">
        <v>106053</v>
      </c>
      <c r="AZ12" s="23">
        <v>82445</v>
      </c>
      <c r="BA12" s="23">
        <v>81088</v>
      </c>
    </row>
    <row r="13" spans="1:54" s="47" customFormat="1" ht="13.5" thickTop="1" x14ac:dyDescent="0.2">
      <c r="A13" s="76"/>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row>
    <row r="14" spans="1:54" s="47" customFormat="1" x14ac:dyDescent="0.2">
      <c r="A14" s="73" t="s">
        <v>175</v>
      </c>
    </row>
    <row r="15" spans="1:54" s="47" customFormat="1" x14ac:dyDescent="0.2">
      <c r="A15" s="74" t="s">
        <v>155</v>
      </c>
      <c r="B15" s="75">
        <v>379.14289300000002</v>
      </c>
      <c r="C15" s="75">
        <v>462.79665</v>
      </c>
      <c r="D15" s="75">
        <v>479.59773100000001</v>
      </c>
      <c r="E15" s="75">
        <v>497.40997700000003</v>
      </c>
      <c r="F15" s="75">
        <v>393.62405899999999</v>
      </c>
      <c r="G15" s="75">
        <v>444.64685100000003</v>
      </c>
      <c r="H15" s="75">
        <v>444.742188</v>
      </c>
      <c r="I15" s="75">
        <v>413.33797600000003</v>
      </c>
      <c r="J15" s="75">
        <v>454.99206600000002</v>
      </c>
      <c r="K15" s="75">
        <v>490.41384399999998</v>
      </c>
      <c r="L15" s="75">
        <v>487.29230899999999</v>
      </c>
      <c r="M15" s="75">
        <v>483.74492500000002</v>
      </c>
      <c r="N15" s="75">
        <v>466.40950700000002</v>
      </c>
      <c r="O15" s="75">
        <v>473.37423799999999</v>
      </c>
      <c r="P15" s="75">
        <v>485.11397799999997</v>
      </c>
      <c r="Q15" s="75">
        <v>551.17688299999998</v>
      </c>
      <c r="R15" s="75">
        <v>522.83565199999998</v>
      </c>
      <c r="S15" s="75">
        <v>540.49227599999995</v>
      </c>
      <c r="T15" s="75">
        <v>521.44413999999995</v>
      </c>
      <c r="U15" s="75">
        <v>536.86192600000004</v>
      </c>
      <c r="V15" s="75">
        <v>517.94164799999999</v>
      </c>
      <c r="W15" s="75">
        <v>504.69518299999999</v>
      </c>
      <c r="X15" s="75">
        <v>500.265964</v>
      </c>
      <c r="Y15" s="75">
        <v>504.263757</v>
      </c>
      <c r="Z15" s="75">
        <v>494.79659400000003</v>
      </c>
      <c r="AA15" s="75">
        <v>471.36597399999999</v>
      </c>
      <c r="AB15" s="75">
        <v>532.91853800000001</v>
      </c>
      <c r="AC15" s="75">
        <v>488.45613400000002</v>
      </c>
      <c r="AD15" s="75">
        <v>483.95710300000002</v>
      </c>
      <c r="AE15" s="75">
        <v>520.57220600000005</v>
      </c>
      <c r="AF15" s="75">
        <v>470.86028299999998</v>
      </c>
      <c r="AG15" s="75">
        <v>499.84762799999999</v>
      </c>
      <c r="AH15" s="75">
        <v>525.86449600000003</v>
      </c>
      <c r="AI15" s="75">
        <v>517.13303900000005</v>
      </c>
      <c r="AJ15" s="75">
        <v>524.56151599999998</v>
      </c>
      <c r="AK15" s="75">
        <v>487.86275699999999</v>
      </c>
      <c r="AL15" s="75">
        <v>513.29454999999996</v>
      </c>
      <c r="AM15" s="75">
        <v>521.01743699999997</v>
      </c>
      <c r="AN15" s="75">
        <v>479.431104</v>
      </c>
      <c r="AO15" s="75">
        <v>491.77408400000002</v>
      </c>
      <c r="AP15" s="75">
        <v>454.892404</v>
      </c>
      <c r="AQ15" s="75">
        <v>497.84841299999999</v>
      </c>
      <c r="AR15" s="75">
        <v>487.778212</v>
      </c>
      <c r="AS15" s="75">
        <v>492.33599400000003</v>
      </c>
      <c r="AT15" s="75">
        <v>454.376959</v>
      </c>
      <c r="AU15" s="75">
        <v>486.31085999999999</v>
      </c>
      <c r="AV15" s="75">
        <v>474.17004400000002</v>
      </c>
      <c r="AW15" s="75">
        <v>465.23953999999998</v>
      </c>
      <c r="AX15" s="75">
        <v>469.36145800000003</v>
      </c>
      <c r="AY15" s="75">
        <v>453.522627</v>
      </c>
      <c r="AZ15" s="75">
        <v>355.74522000000002</v>
      </c>
      <c r="BA15" s="75">
        <v>307.73157300000003</v>
      </c>
    </row>
    <row r="16" spans="1:54" s="47" customFormat="1" x14ac:dyDescent="0.2">
      <c r="A16" s="76" t="s">
        <v>157</v>
      </c>
      <c r="B16" s="75">
        <v>810.78640700000005</v>
      </c>
      <c r="C16" s="75">
        <v>896.04524200000003</v>
      </c>
      <c r="D16" s="75">
        <v>859.071507</v>
      </c>
      <c r="E16" s="75">
        <v>948.40887599999996</v>
      </c>
      <c r="F16" s="75">
        <v>829.83137099999999</v>
      </c>
      <c r="G16" s="75">
        <v>906.57213899999999</v>
      </c>
      <c r="H16" s="75">
        <v>909.75543600000003</v>
      </c>
      <c r="I16" s="75">
        <v>879.67446500000005</v>
      </c>
      <c r="J16" s="75">
        <v>912.27808300000004</v>
      </c>
      <c r="K16" s="75">
        <v>920.15350999999998</v>
      </c>
      <c r="L16" s="75">
        <v>962.79300899999998</v>
      </c>
      <c r="M16" s="75">
        <v>1028.625258</v>
      </c>
      <c r="N16" s="75">
        <v>860.89157799999998</v>
      </c>
      <c r="O16" s="75">
        <v>961.31267200000002</v>
      </c>
      <c r="P16" s="75">
        <v>952.53400499999998</v>
      </c>
      <c r="Q16" s="75">
        <v>876.27960499999995</v>
      </c>
      <c r="R16" s="75">
        <v>952.68658700000003</v>
      </c>
      <c r="S16" s="75">
        <v>880.35818700000004</v>
      </c>
      <c r="T16" s="75">
        <v>874.90772000000004</v>
      </c>
      <c r="U16" s="75">
        <v>1009.54049</v>
      </c>
      <c r="V16" s="75">
        <v>1023.26358</v>
      </c>
      <c r="W16" s="75">
        <v>903.48814200000004</v>
      </c>
      <c r="X16" s="75">
        <v>912.480053</v>
      </c>
      <c r="Y16" s="75">
        <v>1022.455698</v>
      </c>
      <c r="Z16" s="75">
        <v>977.82944699999996</v>
      </c>
      <c r="AA16" s="75">
        <v>1003.541155</v>
      </c>
      <c r="AB16" s="75">
        <v>906.49024399999996</v>
      </c>
      <c r="AC16" s="75">
        <v>1025.5985619999999</v>
      </c>
      <c r="AD16" s="75">
        <v>927.86779000000001</v>
      </c>
      <c r="AE16" s="75">
        <v>909.99564799999996</v>
      </c>
      <c r="AF16" s="75">
        <v>881.86775299999999</v>
      </c>
      <c r="AG16" s="75">
        <v>931.59642099999996</v>
      </c>
      <c r="AH16" s="75">
        <v>905.45995300000004</v>
      </c>
      <c r="AI16" s="75">
        <v>868.201413</v>
      </c>
      <c r="AJ16" s="75">
        <v>890.116263</v>
      </c>
      <c r="AK16" s="75">
        <v>821.99920699999996</v>
      </c>
      <c r="AL16" s="75">
        <v>843.77446799999996</v>
      </c>
      <c r="AM16" s="75">
        <v>807.58786299999997</v>
      </c>
      <c r="AN16" s="75">
        <v>826.28208600000005</v>
      </c>
      <c r="AO16" s="75">
        <v>826.09751800000004</v>
      </c>
      <c r="AP16" s="75">
        <v>793.84245099999998</v>
      </c>
      <c r="AQ16" s="75">
        <v>787.65963099999999</v>
      </c>
      <c r="AR16" s="75">
        <v>838.70392400000003</v>
      </c>
      <c r="AS16" s="75">
        <v>812.03479000000004</v>
      </c>
      <c r="AT16" s="75">
        <v>814.01198899999997</v>
      </c>
      <c r="AU16" s="75">
        <v>819.47908399999994</v>
      </c>
      <c r="AV16" s="75">
        <v>839.85170400000004</v>
      </c>
      <c r="AW16" s="75">
        <v>878.432997</v>
      </c>
      <c r="AX16" s="75">
        <v>804.54120599999999</v>
      </c>
      <c r="AY16" s="75">
        <v>843.15540399999998</v>
      </c>
      <c r="AZ16" s="75">
        <v>711.56373499999995</v>
      </c>
      <c r="BA16" s="75">
        <v>782.92677600000002</v>
      </c>
    </row>
    <row r="17" spans="1:53" s="47" customFormat="1" x14ac:dyDescent="0.2">
      <c r="A17" s="76" t="s">
        <v>159</v>
      </c>
      <c r="B17" s="75">
        <v>400.62114600000001</v>
      </c>
      <c r="C17" s="75">
        <v>445.477464</v>
      </c>
      <c r="D17" s="75">
        <v>464.79969</v>
      </c>
      <c r="E17" s="75">
        <v>471.09817900000002</v>
      </c>
      <c r="F17" s="75">
        <v>454.22706899999997</v>
      </c>
      <c r="G17" s="75">
        <v>474.906656</v>
      </c>
      <c r="H17" s="75">
        <v>480.75027599999999</v>
      </c>
      <c r="I17" s="75">
        <v>421.68528900000001</v>
      </c>
      <c r="J17" s="75">
        <v>420.55377399999998</v>
      </c>
      <c r="K17" s="75">
        <v>611.49292100000002</v>
      </c>
      <c r="L17" s="75">
        <v>600.02689799999996</v>
      </c>
      <c r="M17" s="75">
        <v>579.95369800000003</v>
      </c>
      <c r="N17" s="75">
        <v>555.67727500000001</v>
      </c>
      <c r="O17" s="75">
        <v>545.93595700000003</v>
      </c>
      <c r="P17" s="75">
        <v>554.76910799999996</v>
      </c>
      <c r="Q17" s="75">
        <v>538.14593400000001</v>
      </c>
      <c r="R17" s="75">
        <v>624.30336799999998</v>
      </c>
      <c r="S17" s="75">
        <v>500.40486399999998</v>
      </c>
      <c r="T17" s="75">
        <v>528.58845199999996</v>
      </c>
      <c r="U17" s="75">
        <v>535.50898099999995</v>
      </c>
      <c r="V17" s="75">
        <v>514.992165</v>
      </c>
      <c r="W17" s="75">
        <v>617.63611500000002</v>
      </c>
      <c r="X17" s="75">
        <v>564.75128299999994</v>
      </c>
      <c r="Y17" s="75">
        <v>462.85923400000001</v>
      </c>
      <c r="Z17" s="75">
        <v>592.49319000000003</v>
      </c>
      <c r="AA17" s="75">
        <v>597.50664099999995</v>
      </c>
      <c r="AB17" s="75">
        <v>549.83667100000002</v>
      </c>
      <c r="AC17" s="75">
        <v>593.94559700000002</v>
      </c>
      <c r="AD17" s="75">
        <v>573.29124000000002</v>
      </c>
      <c r="AE17" s="75">
        <v>567.114777</v>
      </c>
      <c r="AF17" s="75">
        <v>543.750001</v>
      </c>
      <c r="AG17" s="75">
        <v>520.59290899999996</v>
      </c>
      <c r="AH17" s="75">
        <v>592.00789899999995</v>
      </c>
      <c r="AI17" s="75">
        <v>588.277017</v>
      </c>
      <c r="AJ17" s="75">
        <v>586.09682899999996</v>
      </c>
      <c r="AK17" s="75">
        <v>531.54656399999999</v>
      </c>
      <c r="AL17" s="75">
        <v>579.219605</v>
      </c>
      <c r="AM17" s="75">
        <v>545.59080600000004</v>
      </c>
      <c r="AN17" s="75">
        <v>570.92526399999997</v>
      </c>
      <c r="AO17" s="75">
        <v>474.20423599999998</v>
      </c>
      <c r="AP17" s="75">
        <v>489.14712200000002</v>
      </c>
      <c r="AQ17" s="75">
        <v>622.595823</v>
      </c>
      <c r="AR17" s="75">
        <v>645.22791800000005</v>
      </c>
      <c r="AS17" s="75">
        <v>575.186691</v>
      </c>
      <c r="AT17" s="75">
        <v>479.98988800000001</v>
      </c>
      <c r="AU17" s="75">
        <v>572.199701</v>
      </c>
      <c r="AV17" s="75">
        <v>478.86316399999998</v>
      </c>
      <c r="AW17" s="75">
        <v>482.124819</v>
      </c>
      <c r="AX17" s="75">
        <v>577.72562800000003</v>
      </c>
      <c r="AY17" s="75">
        <v>506.82070700000003</v>
      </c>
      <c r="AZ17" s="75">
        <v>373.470957</v>
      </c>
      <c r="BA17" s="75">
        <v>401.64126599999997</v>
      </c>
    </row>
    <row r="18" spans="1:53" s="47" customFormat="1" x14ac:dyDescent="0.2">
      <c r="A18" s="76" t="s">
        <v>161</v>
      </c>
      <c r="B18" s="75">
        <v>31.345856999999999</v>
      </c>
      <c r="C18" s="75">
        <v>48.896841000000002</v>
      </c>
      <c r="D18" s="75">
        <v>48.536772999999997</v>
      </c>
      <c r="E18" s="75">
        <v>45.855141000000003</v>
      </c>
      <c r="F18" s="75">
        <v>41.082461000000002</v>
      </c>
      <c r="G18" s="75">
        <v>50.502921999999998</v>
      </c>
      <c r="H18" s="75">
        <v>45.840166000000004</v>
      </c>
      <c r="I18" s="75">
        <v>46.436680000000003</v>
      </c>
      <c r="J18" s="75">
        <v>52.560735999999999</v>
      </c>
      <c r="K18" s="75">
        <v>58.026294</v>
      </c>
      <c r="L18" s="75">
        <v>59.000740999999998</v>
      </c>
      <c r="M18" s="75">
        <v>61.041065000000003</v>
      </c>
      <c r="N18" s="75">
        <v>54.470046000000004</v>
      </c>
      <c r="O18" s="75">
        <v>55.939155</v>
      </c>
      <c r="P18" s="75">
        <v>61.699232000000002</v>
      </c>
      <c r="Q18" s="75">
        <v>67.418977999999996</v>
      </c>
      <c r="R18" s="75">
        <v>66.550061999999997</v>
      </c>
      <c r="S18" s="75">
        <v>62.432819000000002</v>
      </c>
      <c r="T18" s="75">
        <v>58.188654999999997</v>
      </c>
      <c r="U18" s="75">
        <v>56.522060000000003</v>
      </c>
      <c r="V18" s="75">
        <v>57.870513000000003</v>
      </c>
      <c r="W18" s="75">
        <v>50.581288000000001</v>
      </c>
      <c r="X18" s="75">
        <v>52.399251</v>
      </c>
      <c r="Y18" s="75">
        <v>54.341121000000001</v>
      </c>
      <c r="Z18" s="75">
        <v>54.757174999999997</v>
      </c>
      <c r="AA18" s="75">
        <v>61.191991000000002</v>
      </c>
      <c r="AB18" s="75">
        <v>39.860756000000002</v>
      </c>
      <c r="AC18" s="75">
        <v>54.438403000000001</v>
      </c>
      <c r="AD18" s="75">
        <v>52.864941000000002</v>
      </c>
      <c r="AE18" s="75">
        <v>54.241491000000003</v>
      </c>
      <c r="AF18" s="75">
        <v>51.295361999999997</v>
      </c>
      <c r="AG18" s="75">
        <v>56.707538</v>
      </c>
      <c r="AH18" s="75">
        <v>56.727100999999998</v>
      </c>
      <c r="AI18" s="75">
        <v>56.688443999999997</v>
      </c>
      <c r="AJ18" s="75">
        <v>62.481541999999997</v>
      </c>
      <c r="AK18" s="75">
        <v>56.811768000000001</v>
      </c>
      <c r="AL18" s="75">
        <v>56.917349999999999</v>
      </c>
      <c r="AM18" s="75">
        <v>55.202246000000002</v>
      </c>
      <c r="AN18" s="75">
        <v>54.152121000000001</v>
      </c>
      <c r="AO18" s="75">
        <v>51.589692999999997</v>
      </c>
      <c r="AP18" s="75">
        <v>53.644734999999997</v>
      </c>
      <c r="AQ18" s="75">
        <v>56.755087000000003</v>
      </c>
      <c r="AR18" s="75">
        <v>62.309002</v>
      </c>
      <c r="AS18" s="75">
        <v>58.491612000000003</v>
      </c>
      <c r="AT18" s="75">
        <v>55.54045</v>
      </c>
      <c r="AU18" s="75">
        <v>55.433745999999999</v>
      </c>
      <c r="AV18" s="75">
        <v>51.464913000000003</v>
      </c>
      <c r="AW18" s="75">
        <v>54.723756999999999</v>
      </c>
      <c r="AX18" s="75">
        <v>53.027901999999997</v>
      </c>
      <c r="AY18" s="75">
        <v>53.683435000000003</v>
      </c>
      <c r="AZ18" s="75">
        <v>48.432099999999998</v>
      </c>
      <c r="BA18" s="75">
        <v>32.955354</v>
      </c>
    </row>
    <row r="19" spans="1:53" s="47" customFormat="1" x14ac:dyDescent="0.2">
      <c r="A19" s="76" t="s">
        <v>163</v>
      </c>
      <c r="B19" s="75">
        <v>273.29375099999999</v>
      </c>
      <c r="C19" s="75">
        <v>299.22828700000002</v>
      </c>
      <c r="D19" s="75">
        <v>394.47357299999999</v>
      </c>
      <c r="E19" s="75">
        <v>443.73432400000002</v>
      </c>
      <c r="F19" s="75">
        <v>478.77222599999999</v>
      </c>
      <c r="G19" s="75">
        <v>416.71331800000002</v>
      </c>
      <c r="H19" s="75">
        <v>407.08307400000001</v>
      </c>
      <c r="I19" s="75">
        <v>429.830399</v>
      </c>
      <c r="J19" s="75">
        <v>454.415887</v>
      </c>
      <c r="K19" s="75">
        <v>460.30514899999997</v>
      </c>
      <c r="L19" s="75">
        <v>467.89076899999998</v>
      </c>
      <c r="M19" s="75">
        <v>455.14201200000002</v>
      </c>
      <c r="N19" s="75">
        <v>494.28150199999999</v>
      </c>
      <c r="O19" s="75">
        <v>488.38839300000001</v>
      </c>
      <c r="P19" s="75">
        <v>506.36838</v>
      </c>
      <c r="Q19" s="75">
        <v>472.86283800000001</v>
      </c>
      <c r="R19" s="75">
        <v>502.626487</v>
      </c>
      <c r="S19" s="75">
        <v>496.56835000000001</v>
      </c>
      <c r="T19" s="75">
        <v>548.97047999999995</v>
      </c>
      <c r="U19" s="75">
        <v>486.64239400000002</v>
      </c>
      <c r="V19" s="75">
        <v>462.50297</v>
      </c>
      <c r="W19" s="75">
        <v>397.87539400000003</v>
      </c>
      <c r="X19" s="75">
        <v>429.03827899999999</v>
      </c>
      <c r="Y19" s="75">
        <v>429.24479600000001</v>
      </c>
      <c r="Z19" s="75">
        <v>430.33106299999997</v>
      </c>
      <c r="AA19" s="75">
        <v>453.62610699999999</v>
      </c>
      <c r="AB19" s="75">
        <v>371.65583400000003</v>
      </c>
      <c r="AC19" s="75">
        <v>463.14434299999999</v>
      </c>
      <c r="AD19" s="75">
        <v>467.57713999999999</v>
      </c>
      <c r="AE19" s="75">
        <v>418.15880700000002</v>
      </c>
      <c r="AF19" s="75">
        <v>493.34387099999998</v>
      </c>
      <c r="AG19" s="75">
        <v>452.42872799999998</v>
      </c>
      <c r="AH19" s="75">
        <v>545.27913000000001</v>
      </c>
      <c r="AI19" s="75">
        <v>497.97739200000001</v>
      </c>
      <c r="AJ19" s="75">
        <v>443.10229299999997</v>
      </c>
      <c r="AK19" s="75">
        <v>453.36718500000001</v>
      </c>
      <c r="AL19" s="75">
        <v>411.55637200000001</v>
      </c>
      <c r="AM19" s="75">
        <v>336.92512099999999</v>
      </c>
      <c r="AN19" s="75">
        <v>364.19976500000001</v>
      </c>
      <c r="AO19" s="75">
        <v>381.91619700000001</v>
      </c>
      <c r="AP19" s="75">
        <v>409.41935699999999</v>
      </c>
      <c r="AQ19" s="75">
        <v>446.20862899999997</v>
      </c>
      <c r="AR19" s="75">
        <v>459.52981599999998</v>
      </c>
      <c r="AS19" s="75">
        <v>499.13068299999998</v>
      </c>
      <c r="AT19" s="75">
        <v>390.83495499999998</v>
      </c>
      <c r="AU19" s="75">
        <v>439.03695499999998</v>
      </c>
      <c r="AV19" s="75">
        <v>524.22870599999999</v>
      </c>
      <c r="AW19" s="75">
        <v>403.93306699999999</v>
      </c>
      <c r="AX19" s="75">
        <v>499.80282699999998</v>
      </c>
      <c r="AY19" s="75">
        <v>417.91065300000002</v>
      </c>
      <c r="AZ19" s="75">
        <v>213.79170999999999</v>
      </c>
      <c r="BA19" s="75">
        <v>272.11873100000003</v>
      </c>
    </row>
    <row r="20" spans="1:53" s="47" customFormat="1" x14ac:dyDescent="0.2">
      <c r="A20" s="77" t="s">
        <v>165</v>
      </c>
      <c r="B20" s="75">
        <v>865.99122999999997</v>
      </c>
      <c r="C20" s="75">
        <v>881.34040000000005</v>
      </c>
      <c r="D20" s="75">
        <v>974.39878699999997</v>
      </c>
      <c r="E20" s="75">
        <v>983.05326100000002</v>
      </c>
      <c r="F20" s="75">
        <v>901.81813699999998</v>
      </c>
      <c r="G20" s="75">
        <v>1106.46489</v>
      </c>
      <c r="H20" s="75">
        <v>1042.170805</v>
      </c>
      <c r="I20" s="75">
        <v>1122.6850159999999</v>
      </c>
      <c r="J20" s="75">
        <v>1110.185884</v>
      </c>
      <c r="K20" s="75">
        <v>1006.878017</v>
      </c>
      <c r="L20" s="75">
        <v>1108.8886480000001</v>
      </c>
      <c r="M20" s="75">
        <v>1240.558025</v>
      </c>
      <c r="N20" s="75">
        <v>1228.7149139999999</v>
      </c>
      <c r="O20" s="75">
        <v>1143.9569320000001</v>
      </c>
      <c r="P20" s="75">
        <v>1164.2077630000001</v>
      </c>
      <c r="Q20" s="75">
        <v>1053.833421</v>
      </c>
      <c r="R20" s="75">
        <v>956.90457500000002</v>
      </c>
      <c r="S20" s="75">
        <v>989.64519499999994</v>
      </c>
      <c r="T20" s="75">
        <v>888.59513500000003</v>
      </c>
      <c r="U20" s="75">
        <v>838.65342099999998</v>
      </c>
      <c r="V20" s="75">
        <v>939.21193200000005</v>
      </c>
      <c r="W20" s="75">
        <v>831.32986000000005</v>
      </c>
      <c r="X20" s="75">
        <v>965.96833900000001</v>
      </c>
      <c r="Y20" s="75">
        <v>833.46183900000005</v>
      </c>
      <c r="Z20" s="75">
        <v>965.05006200000003</v>
      </c>
      <c r="AA20" s="75">
        <v>797.42609600000003</v>
      </c>
      <c r="AB20" s="75">
        <v>909.34286599999996</v>
      </c>
      <c r="AC20" s="75">
        <v>940.220913</v>
      </c>
      <c r="AD20" s="75">
        <v>884.16366500000004</v>
      </c>
      <c r="AE20" s="75">
        <v>865.88985400000001</v>
      </c>
      <c r="AF20" s="75">
        <v>740.62404600000002</v>
      </c>
      <c r="AG20" s="75">
        <v>663.24792500000001</v>
      </c>
      <c r="AH20" s="75">
        <v>782.14686700000004</v>
      </c>
      <c r="AI20" s="75">
        <v>773.69365600000003</v>
      </c>
      <c r="AJ20" s="75">
        <v>759.63975600000003</v>
      </c>
      <c r="AK20" s="75">
        <v>946.28463399999998</v>
      </c>
      <c r="AL20" s="75">
        <v>1184.545652</v>
      </c>
      <c r="AM20" s="75">
        <v>1110.694753</v>
      </c>
      <c r="AN20" s="75">
        <v>1268.875397</v>
      </c>
      <c r="AO20" s="75">
        <v>1395.6897269999999</v>
      </c>
      <c r="AP20" s="75">
        <v>1468.2030299999999</v>
      </c>
      <c r="AQ20" s="75">
        <v>1541.5027170000001</v>
      </c>
      <c r="AR20" s="75">
        <v>1332.774334</v>
      </c>
      <c r="AS20" s="75">
        <v>1373.250939</v>
      </c>
      <c r="AT20" s="75">
        <v>1336.3384599999999</v>
      </c>
      <c r="AU20" s="75">
        <v>1442.281412</v>
      </c>
      <c r="AV20" s="75">
        <v>1402.4785910000001</v>
      </c>
      <c r="AW20" s="75">
        <v>1437.694753</v>
      </c>
      <c r="AX20" s="75">
        <v>1282.6093450000001</v>
      </c>
      <c r="AY20" s="75">
        <v>1407.218061</v>
      </c>
      <c r="AZ20" s="75">
        <v>1059.9007369999999</v>
      </c>
      <c r="BA20" s="75">
        <v>976.60348099999999</v>
      </c>
    </row>
    <row r="21" spans="1:53" s="47" customFormat="1" x14ac:dyDescent="0.2">
      <c r="A21" s="76" t="s">
        <v>167</v>
      </c>
      <c r="B21" s="75">
        <v>951.77715699999999</v>
      </c>
      <c r="C21" s="75">
        <v>1055.2136840000001</v>
      </c>
      <c r="D21" s="75">
        <v>991.71514300000001</v>
      </c>
      <c r="E21" s="75">
        <v>1080.2263829999999</v>
      </c>
      <c r="F21" s="75">
        <v>984.305296</v>
      </c>
      <c r="G21" s="75">
        <v>1049.732385</v>
      </c>
      <c r="H21" s="75">
        <v>1003.817105</v>
      </c>
      <c r="I21" s="75">
        <v>1028.636387</v>
      </c>
      <c r="J21" s="75">
        <v>1100.134667</v>
      </c>
      <c r="K21" s="75">
        <v>1108.276386</v>
      </c>
      <c r="L21" s="75">
        <v>1126.500579</v>
      </c>
      <c r="M21" s="75">
        <v>1228.8055690000001</v>
      </c>
      <c r="N21" s="75">
        <v>1202.542148</v>
      </c>
      <c r="O21" s="75">
        <v>1289.896857</v>
      </c>
      <c r="P21" s="75">
        <v>1133.8583470000001</v>
      </c>
      <c r="Q21" s="75">
        <v>1200.264598</v>
      </c>
      <c r="R21" s="75">
        <v>1224.41812</v>
      </c>
      <c r="S21" s="75">
        <v>1272.985441</v>
      </c>
      <c r="T21" s="75">
        <v>1214.0499110000001</v>
      </c>
      <c r="U21" s="75">
        <v>1248.7928939999999</v>
      </c>
      <c r="V21" s="75">
        <v>1081.822795</v>
      </c>
      <c r="W21" s="75">
        <v>989.74261300000001</v>
      </c>
      <c r="X21" s="75">
        <v>1139.018896</v>
      </c>
      <c r="Y21" s="75">
        <v>1062.7640530000001</v>
      </c>
      <c r="Z21" s="75">
        <v>1079.319424</v>
      </c>
      <c r="AA21" s="75">
        <v>970.87710400000003</v>
      </c>
      <c r="AB21" s="75">
        <v>1007.751482</v>
      </c>
      <c r="AC21" s="75">
        <v>1083.1445309999999</v>
      </c>
      <c r="AD21" s="75">
        <v>1075.892936</v>
      </c>
      <c r="AE21" s="75">
        <v>1095.6566290000001</v>
      </c>
      <c r="AF21" s="75">
        <v>1107.133484</v>
      </c>
      <c r="AG21" s="75">
        <v>1173.432282</v>
      </c>
      <c r="AH21" s="75">
        <v>1159.559972</v>
      </c>
      <c r="AI21" s="75">
        <v>1129.4320760000001</v>
      </c>
      <c r="AJ21" s="75">
        <v>1153.0830060000001</v>
      </c>
      <c r="AK21" s="75">
        <v>1003.581827</v>
      </c>
      <c r="AL21" s="75">
        <v>1172.4710210000001</v>
      </c>
      <c r="AM21" s="75">
        <v>1012.613606</v>
      </c>
      <c r="AN21" s="75">
        <v>1105.9637540000001</v>
      </c>
      <c r="AO21" s="75">
        <v>1120.342969</v>
      </c>
      <c r="AP21" s="75">
        <v>1044.880056</v>
      </c>
      <c r="AQ21" s="75">
        <v>1076.4139869999999</v>
      </c>
      <c r="AR21" s="75">
        <v>1065.465508</v>
      </c>
      <c r="AS21" s="75">
        <v>1040.396493</v>
      </c>
      <c r="AT21" s="75">
        <v>1010.253921</v>
      </c>
      <c r="AU21" s="75">
        <v>1051.357706</v>
      </c>
      <c r="AV21" s="75">
        <v>978.20554700000002</v>
      </c>
      <c r="AW21" s="75">
        <v>1044.070923</v>
      </c>
      <c r="AX21" s="75">
        <v>1003.687999</v>
      </c>
      <c r="AY21" s="75">
        <v>1004.360185</v>
      </c>
      <c r="AZ21" s="75">
        <v>710.35451399999999</v>
      </c>
      <c r="BA21" s="75">
        <v>752.63757299999997</v>
      </c>
    </row>
    <row r="22" spans="1:53" s="47" customFormat="1" ht="13.5" thickBot="1" x14ac:dyDescent="0.25">
      <c r="A22" s="78" t="s">
        <v>176</v>
      </c>
      <c r="B22" s="23">
        <v>3712.9584409999998</v>
      </c>
      <c r="C22" s="23">
        <v>4088.998568</v>
      </c>
      <c r="D22" s="23">
        <v>4212.5932040000007</v>
      </c>
      <c r="E22" s="23">
        <v>4469.7861410000005</v>
      </c>
      <c r="F22" s="23">
        <v>4083.6606189999998</v>
      </c>
      <c r="G22" s="23">
        <v>4449.5391609999997</v>
      </c>
      <c r="H22" s="23">
        <v>4334.1590500000002</v>
      </c>
      <c r="I22" s="23">
        <v>4342.286212</v>
      </c>
      <c r="J22" s="23">
        <v>4505.1210970000002</v>
      </c>
      <c r="K22" s="23">
        <v>4655.5461209999994</v>
      </c>
      <c r="L22" s="23">
        <v>4812.3929530000005</v>
      </c>
      <c r="M22" s="23">
        <v>5077.8705520000003</v>
      </c>
      <c r="N22" s="23">
        <v>4862.9869699999999</v>
      </c>
      <c r="O22" s="23">
        <v>4958.804204</v>
      </c>
      <c r="P22" s="23">
        <v>4858.5508129999998</v>
      </c>
      <c r="Q22" s="23">
        <v>4759.9822569999997</v>
      </c>
      <c r="R22" s="23">
        <v>4850.3248509999994</v>
      </c>
      <c r="S22" s="23">
        <v>4742.8871319999998</v>
      </c>
      <c r="T22" s="23">
        <v>4634.7444930000001</v>
      </c>
      <c r="U22" s="23">
        <v>4712.5221659999997</v>
      </c>
      <c r="V22" s="23">
        <v>4597.605603</v>
      </c>
      <c r="W22" s="23">
        <v>4295.3485950000004</v>
      </c>
      <c r="X22" s="23">
        <v>4563.9220650000007</v>
      </c>
      <c r="Y22" s="23">
        <v>4369.3904979999998</v>
      </c>
      <c r="Z22" s="23">
        <v>4594.5769550000005</v>
      </c>
      <c r="AA22" s="23">
        <v>4355.5350680000001</v>
      </c>
      <c r="AB22" s="23">
        <v>4317.8563910000003</v>
      </c>
      <c r="AC22" s="23">
        <v>4648.9484830000001</v>
      </c>
      <c r="AD22" s="23">
        <v>4465.6148149999999</v>
      </c>
      <c r="AE22" s="23">
        <v>4431.6294120000002</v>
      </c>
      <c r="AF22" s="23">
        <v>4288.8747999999996</v>
      </c>
      <c r="AG22" s="23">
        <v>4297.8534309999995</v>
      </c>
      <c r="AH22" s="23">
        <v>4567.0454179999997</v>
      </c>
      <c r="AI22" s="23">
        <v>4431.403037</v>
      </c>
      <c r="AJ22" s="23">
        <v>4419.0812050000004</v>
      </c>
      <c r="AK22" s="23">
        <v>4301.4539420000001</v>
      </c>
      <c r="AL22" s="23">
        <v>4761.7790180000002</v>
      </c>
      <c r="AM22" s="23">
        <v>4389.631832</v>
      </c>
      <c r="AN22" s="23">
        <v>4669.8294910000004</v>
      </c>
      <c r="AO22" s="23">
        <v>4741.6144240000003</v>
      </c>
      <c r="AP22" s="23">
        <v>4714.0291550000002</v>
      </c>
      <c r="AQ22" s="23">
        <v>5028.9842870000002</v>
      </c>
      <c r="AR22" s="23">
        <v>4891.7887140000003</v>
      </c>
      <c r="AS22" s="23">
        <v>4850.8272020000004</v>
      </c>
      <c r="AT22" s="23">
        <v>4541.346622</v>
      </c>
      <c r="AU22" s="23">
        <v>4866.0994639999999</v>
      </c>
      <c r="AV22" s="23">
        <v>4749.2626689999997</v>
      </c>
      <c r="AW22" s="23">
        <v>4766.2198560000006</v>
      </c>
      <c r="AX22" s="23">
        <v>4690.7563649999993</v>
      </c>
      <c r="AY22" s="23">
        <v>4686.6710720000001</v>
      </c>
      <c r="AZ22" s="23">
        <v>3473.258973</v>
      </c>
      <c r="BA22" s="23">
        <v>3526.6147539999997</v>
      </c>
    </row>
    <row r="23" spans="1:53" s="47" customFormat="1" ht="13.5" thickTop="1" x14ac:dyDescent="0.2"/>
    <row r="24" spans="1:53" s="47" customFormat="1" ht="15" x14ac:dyDescent="0.25">
      <c r="M24" s="80"/>
    </row>
    <row r="25" spans="1:53" s="47" customFormat="1" x14ac:dyDescent="0.2"/>
    <row r="26" spans="1:53" s="47" customFormat="1" x14ac:dyDescent="0.2"/>
    <row r="27" spans="1:53" s="47" customFormat="1" x14ac:dyDescent="0.2"/>
    <row r="28" spans="1:53" s="47" customFormat="1" x14ac:dyDescent="0.2"/>
    <row r="29" spans="1:53" s="47" customFormat="1" x14ac:dyDescent="0.2"/>
    <row r="30" spans="1:53" s="47" customFormat="1" x14ac:dyDescent="0.2"/>
    <row r="31" spans="1:53" s="47" customFormat="1" x14ac:dyDescent="0.2"/>
    <row r="32" spans="1:53" s="47" customFormat="1" x14ac:dyDescent="0.2"/>
    <row r="33" s="47" customFormat="1" x14ac:dyDescent="0.2"/>
    <row r="34" s="47" customFormat="1" x14ac:dyDescent="0.2"/>
    <row r="35" s="47" customFormat="1" x14ac:dyDescent="0.2"/>
    <row r="36" s="47" customFormat="1" x14ac:dyDescent="0.2"/>
    <row r="37" s="47" customFormat="1" x14ac:dyDescent="0.2"/>
    <row r="38" s="47" customFormat="1" x14ac:dyDescent="0.2"/>
    <row r="39" s="47" customFormat="1" x14ac:dyDescent="0.2"/>
    <row r="40" s="47" customFormat="1" x14ac:dyDescent="0.2"/>
    <row r="41" s="47" customFormat="1" x14ac:dyDescent="0.2"/>
    <row r="42" s="47" customFormat="1" x14ac:dyDescent="0.2"/>
    <row r="43" s="47" customFormat="1" x14ac:dyDescent="0.2"/>
    <row r="44" s="47" customFormat="1" x14ac:dyDescent="0.2"/>
    <row r="45" s="47" customFormat="1" x14ac:dyDescent="0.2"/>
    <row r="46" s="47" customFormat="1" x14ac:dyDescent="0.2"/>
    <row r="47" s="47" customFormat="1" x14ac:dyDescent="0.2"/>
    <row r="48" s="47" customFormat="1" x14ac:dyDescent="0.2"/>
    <row r="49" s="47" customFormat="1" x14ac:dyDescent="0.2"/>
    <row r="50" s="47" customFormat="1" x14ac:dyDescent="0.2"/>
    <row r="51" s="47" customFormat="1" x14ac:dyDescent="0.2"/>
    <row r="52" s="47" customFormat="1" x14ac:dyDescent="0.2"/>
    <row r="53" s="47" customFormat="1" x14ac:dyDescent="0.2"/>
    <row r="54" s="47" customFormat="1" x14ac:dyDescent="0.2"/>
  </sheetData>
  <sheetProtection algorithmName="SHA-512" hashValue="23QOp3riBTuNyR3omndisve8bdsYQ70SP0rrpVpm8eISFJclzoZBF5xfQY5FpdKx0d5bgqU1/WLOxlWmVwtAwQ==" saltValue="EjVEvN5Cp2m5JGX+DEu3Yw==" spinCount="100000" sheet="1" objects="1" scenarios="1"/>
  <mergeCells count="1">
    <mergeCell ref="A1:BA1"/>
  </mergeCells>
  <pageMargins left="0.17" right="0.17" top="0.17" bottom="0.5" header="0.17" footer="0.5"/>
  <pageSetup scale="70" fitToWidth="0" orientation="landscape" r:id="rId1"/>
  <headerFooter alignWithMargins="0"/>
  <colBreaks count="3" manualBreakCount="3">
    <brk id="14" max="48" man="1"/>
    <brk id="27" max="48" man="1"/>
    <brk id="40" max="48" man="1"/>
  </colBreak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C18D3-4A45-4141-9DA3-2D44C5EAF2E2}">
  <sheetPr codeName="Sheet20">
    <tabColor rgb="FF92D050"/>
  </sheetPr>
  <dimension ref="A1:BB54"/>
  <sheetViews>
    <sheetView zoomScaleNormal="100" workbookViewId="0">
      <pane xSplit="1" ySplit="3" topLeftCell="B4" activePane="bottomRight" state="frozen"/>
      <selection activeCell="C22" sqref="C22"/>
      <selection pane="topRight" activeCell="C22" sqref="C22"/>
      <selection pane="bottomLeft" activeCell="C22" sqref="C22"/>
      <selection pane="bottomRight" activeCell="C22" sqref="C22"/>
    </sheetView>
  </sheetViews>
  <sheetFormatPr defaultColWidth="6.7109375" defaultRowHeight="12.75" x14ac:dyDescent="0.2"/>
  <cols>
    <col min="1" max="1" width="50.42578125" style="42" bestFit="1" customWidth="1"/>
    <col min="2" max="2" width="9.42578125" style="43" customWidth="1"/>
    <col min="3" max="52" width="9.42578125" style="42" customWidth="1"/>
    <col min="53" max="53" width="9.5703125" style="42" bestFit="1" customWidth="1"/>
    <col min="54" max="16384" width="6.7109375" style="42"/>
  </cols>
  <sheetData>
    <row r="1" spans="1:54" ht="23.25" x14ac:dyDescent="0.35">
      <c r="A1" s="145" t="s">
        <v>227</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c r="AE1" s="145"/>
      <c r="AF1" s="145"/>
      <c r="AG1" s="145"/>
      <c r="AH1" s="145"/>
      <c r="AI1" s="145"/>
      <c r="AJ1" s="145"/>
      <c r="AK1" s="145"/>
      <c r="AL1" s="145"/>
      <c r="AM1" s="145"/>
      <c r="AN1" s="145"/>
      <c r="AO1" s="145"/>
      <c r="AP1" s="145"/>
      <c r="AQ1" s="145"/>
      <c r="AR1" s="145"/>
      <c r="AS1" s="145"/>
      <c r="AT1" s="145"/>
      <c r="AU1" s="145"/>
      <c r="AV1" s="145"/>
      <c r="AW1" s="145"/>
      <c r="AX1" s="145"/>
      <c r="AY1" s="145"/>
      <c r="AZ1" s="145"/>
      <c r="BA1" s="145"/>
    </row>
    <row r="2" spans="1:54" ht="13.5" thickBot="1" x14ac:dyDescent="0.25">
      <c r="A2" s="7" t="s">
        <v>223</v>
      </c>
      <c r="B2" s="5">
        <v>1</v>
      </c>
      <c r="C2" s="5">
        <v>2</v>
      </c>
      <c r="D2" s="5">
        <v>3</v>
      </c>
      <c r="E2" s="5">
        <v>4</v>
      </c>
      <c r="F2" s="5">
        <v>5</v>
      </c>
      <c r="G2" s="5">
        <v>6</v>
      </c>
      <c r="H2" s="5">
        <v>7</v>
      </c>
      <c r="I2" s="5">
        <v>8</v>
      </c>
      <c r="J2" s="5">
        <v>9</v>
      </c>
      <c r="K2" s="5">
        <v>10</v>
      </c>
      <c r="L2" s="5">
        <v>11</v>
      </c>
      <c r="M2" s="5">
        <v>12</v>
      </c>
      <c r="N2" s="5">
        <v>13</v>
      </c>
      <c r="O2" s="5">
        <v>14</v>
      </c>
      <c r="P2" s="5">
        <v>15</v>
      </c>
      <c r="Q2" s="5">
        <v>16</v>
      </c>
      <c r="R2" s="5">
        <v>17</v>
      </c>
      <c r="S2" s="5">
        <v>18</v>
      </c>
      <c r="T2" s="5">
        <v>19</v>
      </c>
      <c r="U2" s="5">
        <v>20</v>
      </c>
      <c r="V2" s="5">
        <v>21</v>
      </c>
      <c r="W2" s="5">
        <v>22</v>
      </c>
      <c r="X2" s="5">
        <v>23</v>
      </c>
      <c r="Y2" s="5">
        <v>24</v>
      </c>
      <c r="Z2" s="5">
        <v>25</v>
      </c>
      <c r="AA2" s="5">
        <v>26</v>
      </c>
      <c r="AB2" s="5">
        <v>27</v>
      </c>
      <c r="AC2" s="5">
        <v>28</v>
      </c>
      <c r="AD2" s="5">
        <v>29</v>
      </c>
      <c r="AE2" s="5">
        <v>30</v>
      </c>
      <c r="AF2" s="5">
        <v>31</v>
      </c>
      <c r="AG2" s="5">
        <v>32</v>
      </c>
      <c r="AH2" s="5">
        <v>33</v>
      </c>
      <c r="AI2" s="5">
        <v>34</v>
      </c>
      <c r="AJ2" s="5">
        <v>35</v>
      </c>
      <c r="AK2" s="5">
        <v>36</v>
      </c>
      <c r="AL2" s="5">
        <v>37</v>
      </c>
      <c r="AM2" s="5">
        <v>38</v>
      </c>
      <c r="AN2" s="5">
        <v>39</v>
      </c>
      <c r="AO2" s="5">
        <v>40</v>
      </c>
      <c r="AP2" s="5">
        <v>41</v>
      </c>
      <c r="AQ2" s="5">
        <v>42</v>
      </c>
      <c r="AR2" s="5">
        <v>43</v>
      </c>
      <c r="AS2" s="5">
        <v>44</v>
      </c>
      <c r="AT2" s="5">
        <v>45</v>
      </c>
      <c r="AU2" s="5">
        <v>46</v>
      </c>
      <c r="AV2" s="5">
        <v>47</v>
      </c>
      <c r="AW2" s="5">
        <v>48</v>
      </c>
      <c r="AX2" s="5">
        <v>49</v>
      </c>
      <c r="AY2" s="5">
        <v>50</v>
      </c>
      <c r="AZ2" s="5">
        <v>51</v>
      </c>
      <c r="BA2" s="5">
        <v>52</v>
      </c>
    </row>
    <row r="3" spans="1:54" s="45" customFormat="1" ht="24.75" thickBot="1" x14ac:dyDescent="0.25">
      <c r="A3" s="50" t="s">
        <v>179</v>
      </c>
      <c r="B3" s="51">
        <v>44199</v>
      </c>
      <c r="C3" s="51">
        <v>44206</v>
      </c>
      <c r="D3" s="51">
        <v>44213</v>
      </c>
      <c r="E3" s="51">
        <v>44220</v>
      </c>
      <c r="F3" s="51">
        <v>44227</v>
      </c>
      <c r="G3" s="51">
        <v>44234</v>
      </c>
      <c r="H3" s="51">
        <v>44241</v>
      </c>
      <c r="I3" s="51">
        <v>44248</v>
      </c>
      <c r="J3" s="51">
        <v>44255</v>
      </c>
      <c r="K3" s="51">
        <v>44262</v>
      </c>
      <c r="L3" s="51">
        <v>44269</v>
      </c>
      <c r="M3" s="51">
        <v>44276</v>
      </c>
      <c r="N3" s="51">
        <v>44283</v>
      </c>
      <c r="O3" s="51">
        <v>44290</v>
      </c>
      <c r="P3" s="51">
        <v>44297</v>
      </c>
      <c r="Q3" s="51">
        <v>44304</v>
      </c>
      <c r="R3" s="51">
        <v>44311</v>
      </c>
      <c r="S3" s="51">
        <v>44318</v>
      </c>
      <c r="T3" s="51">
        <v>44325</v>
      </c>
      <c r="U3" s="51">
        <v>44332</v>
      </c>
      <c r="V3" s="51">
        <v>44339</v>
      </c>
      <c r="W3" s="51">
        <v>44346</v>
      </c>
      <c r="X3" s="51">
        <v>44353</v>
      </c>
      <c r="Y3" s="51">
        <v>44360</v>
      </c>
      <c r="Z3" s="51">
        <v>44367</v>
      </c>
      <c r="AA3" s="51">
        <v>44374</v>
      </c>
      <c r="AB3" s="51">
        <v>44381</v>
      </c>
      <c r="AC3" s="51">
        <v>44388</v>
      </c>
      <c r="AD3" s="51">
        <v>44395</v>
      </c>
      <c r="AE3" s="51">
        <v>44402</v>
      </c>
      <c r="AF3" s="51">
        <v>44409</v>
      </c>
      <c r="AG3" s="51">
        <v>44416</v>
      </c>
      <c r="AH3" s="51">
        <v>44423</v>
      </c>
      <c r="AI3" s="51">
        <v>44430</v>
      </c>
      <c r="AJ3" s="51">
        <v>44437</v>
      </c>
      <c r="AK3" s="51">
        <v>44444</v>
      </c>
      <c r="AL3" s="51">
        <v>44451</v>
      </c>
      <c r="AM3" s="51">
        <v>44458</v>
      </c>
      <c r="AN3" s="51">
        <v>44465</v>
      </c>
      <c r="AO3" s="51">
        <v>44472</v>
      </c>
      <c r="AP3" s="51">
        <v>44479</v>
      </c>
      <c r="AQ3" s="51">
        <v>44486</v>
      </c>
      <c r="AR3" s="51">
        <v>44493</v>
      </c>
      <c r="AS3" s="51">
        <v>44500</v>
      </c>
      <c r="AT3" s="51">
        <v>44507</v>
      </c>
      <c r="AU3" s="51">
        <v>44514</v>
      </c>
      <c r="AV3" s="51">
        <v>44521</v>
      </c>
      <c r="AW3" s="51">
        <v>44528</v>
      </c>
      <c r="AX3" s="51">
        <v>44535</v>
      </c>
      <c r="AY3" s="51">
        <v>44542</v>
      </c>
      <c r="AZ3" s="51">
        <v>44549</v>
      </c>
      <c r="BA3" s="51">
        <v>44556</v>
      </c>
      <c r="BB3" s="52"/>
    </row>
    <row r="4" spans="1:54" s="47" customFormat="1" x14ac:dyDescent="0.2">
      <c r="A4" s="73" t="s">
        <v>173</v>
      </c>
    </row>
    <row r="5" spans="1:54" s="47" customFormat="1" x14ac:dyDescent="0.2">
      <c r="A5" s="74" t="s">
        <v>155</v>
      </c>
      <c r="B5" s="75">
        <v>6789</v>
      </c>
      <c r="C5" s="75">
        <v>7026</v>
      </c>
      <c r="D5" s="75">
        <v>7200</v>
      </c>
      <c r="E5" s="75">
        <v>6692</v>
      </c>
      <c r="F5" s="75">
        <v>6531</v>
      </c>
      <c r="G5" s="75">
        <v>5523</v>
      </c>
      <c r="H5" s="75">
        <v>6297</v>
      </c>
      <c r="I5" s="75">
        <v>6797</v>
      </c>
      <c r="J5" s="75">
        <v>6570</v>
      </c>
      <c r="K5" s="75">
        <v>7138</v>
      </c>
      <c r="L5" s="75">
        <v>6789</v>
      </c>
      <c r="M5" s="75">
        <v>7138</v>
      </c>
      <c r="N5" s="75">
        <v>7077</v>
      </c>
      <c r="O5" s="75">
        <v>6902</v>
      </c>
      <c r="P5" s="75">
        <v>6994</v>
      </c>
      <c r="Q5" s="75">
        <v>6704</v>
      </c>
      <c r="R5" s="75">
        <v>7132</v>
      </c>
      <c r="S5" s="75">
        <v>6989</v>
      </c>
      <c r="T5" s="75">
        <v>6991</v>
      </c>
      <c r="U5" s="75">
        <v>7013</v>
      </c>
      <c r="V5" s="75">
        <v>6594</v>
      </c>
      <c r="W5" s="75">
        <v>7153</v>
      </c>
      <c r="X5" s="75">
        <v>6742</v>
      </c>
      <c r="Y5" s="75">
        <v>7023</v>
      </c>
      <c r="Z5" s="75">
        <v>6773</v>
      </c>
      <c r="AA5" s="75">
        <v>5873</v>
      </c>
      <c r="AB5" s="75">
        <v>5618</v>
      </c>
      <c r="AC5" s="75">
        <v>5644</v>
      </c>
      <c r="AD5" s="75">
        <v>6344</v>
      </c>
      <c r="AE5" s="75">
        <v>6129</v>
      </c>
      <c r="AF5" s="75">
        <v>5996</v>
      </c>
      <c r="AG5" s="75">
        <v>6430</v>
      </c>
      <c r="AH5" s="75">
        <v>6458</v>
      </c>
      <c r="AI5" s="75">
        <v>6521</v>
      </c>
      <c r="AJ5" s="75">
        <v>6637</v>
      </c>
      <c r="AK5" s="75">
        <v>6532</v>
      </c>
      <c r="AL5" s="75">
        <v>6710</v>
      </c>
      <c r="AM5" s="75">
        <v>6414</v>
      </c>
      <c r="AN5" s="75">
        <v>6504</v>
      </c>
      <c r="AO5" s="75">
        <v>6594</v>
      </c>
      <c r="AP5" s="75">
        <v>6292</v>
      </c>
      <c r="AQ5" s="75">
        <v>6638</v>
      </c>
      <c r="AR5" s="75">
        <v>6719</v>
      </c>
      <c r="AS5" s="75">
        <v>6790</v>
      </c>
      <c r="AT5" s="75">
        <v>5983</v>
      </c>
      <c r="AU5" s="75">
        <v>6382</v>
      </c>
      <c r="AV5" s="75">
        <v>5668</v>
      </c>
      <c r="AW5" s="75">
        <v>5897</v>
      </c>
      <c r="AX5" s="75">
        <v>5698</v>
      </c>
      <c r="AY5" s="75">
        <v>6334</v>
      </c>
      <c r="AZ5" s="75">
        <v>5638</v>
      </c>
      <c r="BA5" s="75">
        <v>4862</v>
      </c>
    </row>
    <row r="6" spans="1:54" s="47" customFormat="1" x14ac:dyDescent="0.2">
      <c r="A6" s="76" t="s">
        <v>157</v>
      </c>
      <c r="B6" s="75">
        <v>12732</v>
      </c>
      <c r="C6" s="75">
        <v>12213</v>
      </c>
      <c r="D6" s="75">
        <v>12546</v>
      </c>
      <c r="E6" s="75">
        <v>12186</v>
      </c>
      <c r="F6" s="75">
        <v>11872</v>
      </c>
      <c r="G6" s="75">
        <v>10697</v>
      </c>
      <c r="H6" s="75">
        <v>10744</v>
      </c>
      <c r="I6" s="75">
        <v>12102</v>
      </c>
      <c r="J6" s="75">
        <v>12229</v>
      </c>
      <c r="K6" s="75">
        <v>11759</v>
      </c>
      <c r="L6" s="75">
        <v>11590</v>
      </c>
      <c r="M6" s="75">
        <v>11036</v>
      </c>
      <c r="N6" s="75">
        <v>10206</v>
      </c>
      <c r="O6" s="75">
        <v>10975</v>
      </c>
      <c r="P6" s="75">
        <v>11024</v>
      </c>
      <c r="Q6" s="75">
        <v>10895</v>
      </c>
      <c r="R6" s="75">
        <v>10935</v>
      </c>
      <c r="S6" s="75">
        <v>10819</v>
      </c>
      <c r="T6" s="75">
        <v>10825</v>
      </c>
      <c r="U6" s="75">
        <v>11084</v>
      </c>
      <c r="V6" s="75">
        <v>10797</v>
      </c>
      <c r="W6" s="75">
        <v>11316</v>
      </c>
      <c r="X6" s="75">
        <v>10628</v>
      </c>
      <c r="Y6" s="75">
        <v>11704</v>
      </c>
      <c r="Z6" s="75">
        <v>11222</v>
      </c>
      <c r="AA6" s="75">
        <v>11012</v>
      </c>
      <c r="AB6" s="75">
        <v>10670</v>
      </c>
      <c r="AC6" s="75">
        <v>10991</v>
      </c>
      <c r="AD6" s="75">
        <v>11786</v>
      </c>
      <c r="AE6" s="75">
        <v>11666</v>
      </c>
      <c r="AF6" s="75">
        <v>11971</v>
      </c>
      <c r="AG6" s="75">
        <v>11306</v>
      </c>
      <c r="AH6" s="75">
        <v>11973</v>
      </c>
      <c r="AI6" s="75">
        <v>11596</v>
      </c>
      <c r="AJ6" s="75">
        <v>10468</v>
      </c>
      <c r="AK6" s="75">
        <v>10842</v>
      </c>
      <c r="AL6" s="75">
        <v>11317</v>
      </c>
      <c r="AM6" s="75">
        <v>11974</v>
      </c>
      <c r="AN6" s="75">
        <v>11834</v>
      </c>
      <c r="AO6" s="75">
        <v>11761</v>
      </c>
      <c r="AP6" s="75">
        <v>11735</v>
      </c>
      <c r="AQ6" s="75">
        <v>12044</v>
      </c>
      <c r="AR6" s="75">
        <v>11929</v>
      </c>
      <c r="AS6" s="75">
        <v>12811</v>
      </c>
      <c r="AT6" s="75">
        <v>12020</v>
      </c>
      <c r="AU6" s="75">
        <v>11075</v>
      </c>
      <c r="AV6" s="75">
        <v>11098</v>
      </c>
      <c r="AW6" s="75">
        <v>11325</v>
      </c>
      <c r="AX6" s="75">
        <v>11762</v>
      </c>
      <c r="AY6" s="75">
        <v>11783</v>
      </c>
      <c r="AZ6" s="75">
        <v>11606</v>
      </c>
      <c r="BA6" s="75">
        <v>10430</v>
      </c>
    </row>
    <row r="7" spans="1:54" s="47" customFormat="1" x14ac:dyDescent="0.2">
      <c r="A7" s="76" t="s">
        <v>159</v>
      </c>
      <c r="B7" s="75">
        <v>15793</v>
      </c>
      <c r="C7" s="75">
        <v>22042</v>
      </c>
      <c r="D7" s="75">
        <v>16488</v>
      </c>
      <c r="E7" s="75">
        <v>17179</v>
      </c>
      <c r="F7" s="75">
        <v>18273</v>
      </c>
      <c r="G7" s="75">
        <v>16571</v>
      </c>
      <c r="H7" s="75">
        <v>14915</v>
      </c>
      <c r="I7" s="75">
        <v>17925</v>
      </c>
      <c r="J7" s="75">
        <v>18041</v>
      </c>
      <c r="K7" s="75">
        <v>18220</v>
      </c>
      <c r="L7" s="75">
        <v>17934</v>
      </c>
      <c r="M7" s="75">
        <v>17379</v>
      </c>
      <c r="N7" s="75">
        <v>18298</v>
      </c>
      <c r="O7" s="75">
        <v>19502</v>
      </c>
      <c r="P7" s="75">
        <v>19431</v>
      </c>
      <c r="Q7" s="75">
        <v>19231</v>
      </c>
      <c r="R7" s="75">
        <v>17922</v>
      </c>
      <c r="S7" s="75">
        <v>18402</v>
      </c>
      <c r="T7" s="75">
        <v>18147</v>
      </c>
      <c r="U7" s="75">
        <v>17561</v>
      </c>
      <c r="V7" s="75">
        <v>18757</v>
      </c>
      <c r="W7" s="75">
        <v>18088</v>
      </c>
      <c r="X7" s="75">
        <v>19334</v>
      </c>
      <c r="Y7" s="75">
        <v>17554</v>
      </c>
      <c r="Z7" s="75">
        <v>20006</v>
      </c>
      <c r="AA7" s="75">
        <v>20241</v>
      </c>
      <c r="AB7" s="75">
        <v>19932</v>
      </c>
      <c r="AC7" s="75">
        <v>21239</v>
      </c>
      <c r="AD7" s="75">
        <v>18870</v>
      </c>
      <c r="AE7" s="75">
        <v>20464</v>
      </c>
      <c r="AF7" s="75">
        <v>20840</v>
      </c>
      <c r="AG7" s="75">
        <v>20746</v>
      </c>
      <c r="AH7" s="75">
        <v>20315</v>
      </c>
      <c r="AI7" s="75">
        <v>20525</v>
      </c>
      <c r="AJ7" s="75">
        <v>19227</v>
      </c>
      <c r="AK7" s="75">
        <v>21164</v>
      </c>
      <c r="AL7" s="75">
        <v>20793</v>
      </c>
      <c r="AM7" s="75">
        <v>21178</v>
      </c>
      <c r="AN7" s="75">
        <v>21359</v>
      </c>
      <c r="AO7" s="75">
        <v>16333</v>
      </c>
      <c r="AP7" s="75">
        <v>20129</v>
      </c>
      <c r="AQ7" s="75">
        <v>20470</v>
      </c>
      <c r="AR7" s="75">
        <v>19786</v>
      </c>
      <c r="AS7" s="75">
        <v>19536</v>
      </c>
      <c r="AT7" s="75">
        <v>19507</v>
      </c>
      <c r="AU7" s="75">
        <v>20072</v>
      </c>
      <c r="AV7" s="75">
        <v>19288</v>
      </c>
      <c r="AW7" s="75">
        <v>19278</v>
      </c>
      <c r="AX7" s="75">
        <v>16727</v>
      </c>
      <c r="AY7" s="75">
        <v>17176</v>
      </c>
      <c r="AZ7" s="75">
        <v>17527</v>
      </c>
      <c r="BA7" s="75">
        <v>15971</v>
      </c>
    </row>
    <row r="8" spans="1:54" s="47" customFormat="1" x14ac:dyDescent="0.2">
      <c r="A8" s="76" t="s">
        <v>161</v>
      </c>
      <c r="B8" s="75">
        <v>3324</v>
      </c>
      <c r="C8" s="75">
        <v>3559</v>
      </c>
      <c r="D8" s="75">
        <v>4035</v>
      </c>
      <c r="E8" s="75">
        <v>4078</v>
      </c>
      <c r="F8" s="75">
        <v>3818</v>
      </c>
      <c r="G8" s="75">
        <v>3804</v>
      </c>
      <c r="H8" s="75">
        <v>3454</v>
      </c>
      <c r="I8" s="75">
        <v>4046</v>
      </c>
      <c r="J8" s="75">
        <v>4856</v>
      </c>
      <c r="K8" s="75">
        <v>4335</v>
      </c>
      <c r="L8" s="75">
        <v>4848</v>
      </c>
      <c r="M8" s="75">
        <v>4429</v>
      </c>
      <c r="N8" s="75">
        <v>3725</v>
      </c>
      <c r="O8" s="75">
        <v>2925</v>
      </c>
      <c r="P8" s="75">
        <v>2970</v>
      </c>
      <c r="Q8" s="75">
        <v>2612</v>
      </c>
      <c r="R8" s="75">
        <v>2894</v>
      </c>
      <c r="S8" s="75">
        <v>3093</v>
      </c>
      <c r="T8" s="75">
        <v>3439</v>
      </c>
      <c r="U8" s="75">
        <v>3605</v>
      </c>
      <c r="V8" s="75">
        <v>3698</v>
      </c>
      <c r="W8" s="75">
        <v>3102</v>
      </c>
      <c r="X8" s="75">
        <v>3112</v>
      </c>
      <c r="Y8" s="75">
        <v>2984</v>
      </c>
      <c r="Z8" s="75">
        <v>3540</v>
      </c>
      <c r="AA8" s="75">
        <v>3511</v>
      </c>
      <c r="AB8" s="75">
        <v>2885</v>
      </c>
      <c r="AC8" s="75">
        <v>2700</v>
      </c>
      <c r="AD8" s="75">
        <v>2655</v>
      </c>
      <c r="AE8" s="75">
        <v>3159</v>
      </c>
      <c r="AF8" s="75">
        <v>2983</v>
      </c>
      <c r="AG8" s="75">
        <v>2827</v>
      </c>
      <c r="AH8" s="75">
        <v>3545</v>
      </c>
      <c r="AI8" s="75">
        <v>3182</v>
      </c>
      <c r="AJ8" s="75">
        <v>2816</v>
      </c>
      <c r="AK8" s="75">
        <v>2748</v>
      </c>
      <c r="AL8" s="75">
        <v>3467</v>
      </c>
      <c r="AM8" s="75">
        <v>3371</v>
      </c>
      <c r="AN8" s="75">
        <v>3353</v>
      </c>
      <c r="AO8" s="75">
        <v>3694</v>
      </c>
      <c r="AP8" s="75">
        <v>3501</v>
      </c>
      <c r="AQ8" s="75">
        <v>4077</v>
      </c>
      <c r="AR8" s="75">
        <v>3746</v>
      </c>
      <c r="AS8" s="75">
        <v>3248</v>
      </c>
      <c r="AT8" s="75">
        <v>3307</v>
      </c>
      <c r="AU8" s="75">
        <v>3539</v>
      </c>
      <c r="AV8" s="75">
        <v>3046</v>
      </c>
      <c r="AW8" s="75">
        <v>3725</v>
      </c>
      <c r="AX8" s="75">
        <v>4074</v>
      </c>
      <c r="AY8" s="75">
        <v>3811</v>
      </c>
      <c r="AZ8" s="75">
        <v>3135</v>
      </c>
      <c r="BA8" s="75">
        <v>2818</v>
      </c>
    </row>
    <row r="9" spans="1:54" s="47" customFormat="1" x14ac:dyDescent="0.2">
      <c r="A9" s="76" t="s">
        <v>163</v>
      </c>
      <c r="B9" s="75">
        <v>5704</v>
      </c>
      <c r="C9" s="75">
        <v>6686</v>
      </c>
      <c r="D9" s="75">
        <v>5957</v>
      </c>
      <c r="E9" s="75">
        <v>5721</v>
      </c>
      <c r="F9" s="75">
        <v>5340</v>
      </c>
      <c r="G9" s="75">
        <v>4905</v>
      </c>
      <c r="H9" s="75">
        <v>4263</v>
      </c>
      <c r="I9" s="75">
        <v>5949</v>
      </c>
      <c r="J9" s="75">
        <v>4964</v>
      </c>
      <c r="K9" s="75">
        <v>5579</v>
      </c>
      <c r="L9" s="75">
        <v>4368</v>
      </c>
      <c r="M9" s="75">
        <v>5528</v>
      </c>
      <c r="N9" s="75">
        <v>5438</v>
      </c>
      <c r="O9" s="75">
        <v>7031</v>
      </c>
      <c r="P9" s="75">
        <v>7008</v>
      </c>
      <c r="Q9" s="75">
        <v>7126</v>
      </c>
      <c r="R9" s="75">
        <v>7246</v>
      </c>
      <c r="S9" s="75">
        <v>7484</v>
      </c>
      <c r="T9" s="75">
        <v>8107</v>
      </c>
      <c r="U9" s="75">
        <v>7858</v>
      </c>
      <c r="V9" s="75">
        <v>7026</v>
      </c>
      <c r="W9" s="75">
        <v>8322</v>
      </c>
      <c r="X9" s="75">
        <v>7713</v>
      </c>
      <c r="Y9" s="75">
        <v>8634</v>
      </c>
      <c r="Z9" s="75">
        <v>8641</v>
      </c>
      <c r="AA9" s="75">
        <v>7226</v>
      </c>
      <c r="AB9" s="75">
        <v>5831</v>
      </c>
      <c r="AC9" s="75">
        <v>5688</v>
      </c>
      <c r="AD9" s="75">
        <v>7056</v>
      </c>
      <c r="AE9" s="75">
        <v>7976</v>
      </c>
      <c r="AF9" s="75">
        <v>8583</v>
      </c>
      <c r="AG9" s="75">
        <v>8954</v>
      </c>
      <c r="AH9" s="75">
        <v>8554</v>
      </c>
      <c r="AI9" s="75">
        <v>9649</v>
      </c>
      <c r="AJ9" s="75">
        <v>9425</v>
      </c>
      <c r="AK9" s="75">
        <v>9007</v>
      </c>
      <c r="AL9" s="75">
        <v>8801</v>
      </c>
      <c r="AM9" s="75">
        <v>9568</v>
      </c>
      <c r="AN9" s="75">
        <v>9329</v>
      </c>
      <c r="AO9" s="75">
        <v>10548</v>
      </c>
      <c r="AP9" s="75">
        <v>9060</v>
      </c>
      <c r="AQ9" s="75">
        <v>6970</v>
      </c>
      <c r="AR9" s="75">
        <v>8318</v>
      </c>
      <c r="AS9" s="75">
        <v>8961</v>
      </c>
      <c r="AT9" s="75">
        <v>8073</v>
      </c>
      <c r="AU9" s="75">
        <v>7503</v>
      </c>
      <c r="AV9" s="75">
        <v>5081</v>
      </c>
      <c r="AW9" s="75">
        <v>5802</v>
      </c>
      <c r="AX9" s="75">
        <v>7376</v>
      </c>
      <c r="AY9" s="75">
        <v>8833</v>
      </c>
      <c r="AZ9" s="75">
        <v>7177</v>
      </c>
      <c r="BA9" s="75">
        <v>5679</v>
      </c>
    </row>
    <row r="10" spans="1:54" s="47" customFormat="1" x14ac:dyDescent="0.2">
      <c r="A10" s="77" t="s">
        <v>165</v>
      </c>
      <c r="B10" s="75">
        <v>14054</v>
      </c>
      <c r="C10" s="75">
        <v>14750</v>
      </c>
      <c r="D10" s="75">
        <v>14788</v>
      </c>
      <c r="E10" s="75">
        <v>14669</v>
      </c>
      <c r="F10" s="75">
        <v>13446</v>
      </c>
      <c r="G10" s="75">
        <v>11536</v>
      </c>
      <c r="H10" s="75">
        <v>10693</v>
      </c>
      <c r="I10" s="75">
        <v>13518</v>
      </c>
      <c r="J10" s="75">
        <v>14347</v>
      </c>
      <c r="K10" s="75">
        <v>14340</v>
      </c>
      <c r="L10" s="75">
        <v>14287</v>
      </c>
      <c r="M10" s="75">
        <v>15241</v>
      </c>
      <c r="N10" s="75">
        <v>13526</v>
      </c>
      <c r="O10" s="75">
        <v>14303</v>
      </c>
      <c r="P10" s="75">
        <v>14756</v>
      </c>
      <c r="Q10" s="75">
        <v>14024</v>
      </c>
      <c r="R10" s="75">
        <v>14206</v>
      </c>
      <c r="S10" s="75">
        <v>13133</v>
      </c>
      <c r="T10" s="75">
        <v>12189</v>
      </c>
      <c r="U10" s="75">
        <v>11329</v>
      </c>
      <c r="V10" s="75">
        <v>11966</v>
      </c>
      <c r="W10" s="75">
        <v>11415</v>
      </c>
      <c r="X10" s="75">
        <v>11546</v>
      </c>
      <c r="Y10" s="75">
        <v>10671</v>
      </c>
      <c r="Z10" s="75">
        <v>11257</v>
      </c>
      <c r="AA10" s="75">
        <v>9164</v>
      </c>
      <c r="AB10" s="75">
        <v>8641</v>
      </c>
      <c r="AC10" s="75">
        <v>9222</v>
      </c>
      <c r="AD10" s="75">
        <v>8876</v>
      </c>
      <c r="AE10" s="75">
        <v>10514</v>
      </c>
      <c r="AF10" s="75">
        <v>9123</v>
      </c>
      <c r="AG10" s="75">
        <v>9649</v>
      </c>
      <c r="AH10" s="75">
        <v>9959</v>
      </c>
      <c r="AI10" s="75">
        <v>9383</v>
      </c>
      <c r="AJ10" s="75">
        <v>9707</v>
      </c>
      <c r="AK10" s="75">
        <v>10535</v>
      </c>
      <c r="AL10" s="75">
        <v>11473</v>
      </c>
      <c r="AM10" s="75">
        <v>11343</v>
      </c>
      <c r="AN10" s="75">
        <v>12013</v>
      </c>
      <c r="AO10" s="75">
        <v>13296</v>
      </c>
      <c r="AP10" s="75">
        <v>13537</v>
      </c>
      <c r="AQ10" s="75">
        <v>12744</v>
      </c>
      <c r="AR10" s="75">
        <v>13178</v>
      </c>
      <c r="AS10" s="75">
        <v>13077</v>
      </c>
      <c r="AT10" s="75">
        <v>12797</v>
      </c>
      <c r="AU10" s="75">
        <v>11914</v>
      </c>
      <c r="AV10" s="75">
        <v>9951</v>
      </c>
      <c r="AW10" s="75">
        <v>11351</v>
      </c>
      <c r="AX10" s="75">
        <v>12430</v>
      </c>
      <c r="AY10" s="75">
        <v>12678</v>
      </c>
      <c r="AZ10" s="75">
        <v>10948</v>
      </c>
      <c r="BA10" s="75">
        <v>8618</v>
      </c>
    </row>
    <row r="11" spans="1:54" s="47" customFormat="1" x14ac:dyDescent="0.2">
      <c r="A11" s="76" t="s">
        <v>167</v>
      </c>
      <c r="B11" s="75">
        <v>57758</v>
      </c>
      <c r="C11" s="75">
        <v>56268</v>
      </c>
      <c r="D11" s="75">
        <v>54882</v>
      </c>
      <c r="E11" s="75">
        <v>52728</v>
      </c>
      <c r="F11" s="75">
        <v>51994</v>
      </c>
      <c r="G11" s="75">
        <v>47256</v>
      </c>
      <c r="H11" s="75">
        <v>46114</v>
      </c>
      <c r="I11" s="75">
        <v>52296</v>
      </c>
      <c r="J11" s="75">
        <v>55021</v>
      </c>
      <c r="K11" s="75">
        <v>54889</v>
      </c>
      <c r="L11" s="75">
        <v>53278</v>
      </c>
      <c r="M11" s="75">
        <v>54785</v>
      </c>
      <c r="N11" s="75">
        <v>53645</v>
      </c>
      <c r="O11" s="75">
        <v>55659</v>
      </c>
      <c r="P11" s="75">
        <v>51185</v>
      </c>
      <c r="Q11" s="75">
        <v>51106</v>
      </c>
      <c r="R11" s="75">
        <v>50080</v>
      </c>
      <c r="S11" s="75">
        <v>56479</v>
      </c>
      <c r="T11" s="75">
        <v>55375</v>
      </c>
      <c r="U11" s="75">
        <v>55749</v>
      </c>
      <c r="V11" s="75">
        <v>52829</v>
      </c>
      <c r="W11" s="75">
        <v>54268</v>
      </c>
      <c r="X11" s="75">
        <v>52877</v>
      </c>
      <c r="Y11" s="75">
        <v>52171</v>
      </c>
      <c r="Z11" s="75">
        <v>52856</v>
      </c>
      <c r="AA11" s="75">
        <v>47045</v>
      </c>
      <c r="AB11" s="75">
        <v>39841</v>
      </c>
      <c r="AC11" s="75">
        <v>46067</v>
      </c>
      <c r="AD11" s="75">
        <v>52615</v>
      </c>
      <c r="AE11" s="75">
        <v>50473</v>
      </c>
      <c r="AF11" s="75">
        <v>49150</v>
      </c>
      <c r="AG11" s="75">
        <v>54715</v>
      </c>
      <c r="AH11" s="75">
        <v>52099</v>
      </c>
      <c r="AI11" s="75">
        <v>50820</v>
      </c>
      <c r="AJ11" s="75">
        <v>49503</v>
      </c>
      <c r="AK11" s="75">
        <v>43583</v>
      </c>
      <c r="AL11" s="75">
        <v>53798</v>
      </c>
      <c r="AM11" s="75">
        <v>50906</v>
      </c>
      <c r="AN11" s="75">
        <v>50015</v>
      </c>
      <c r="AO11" s="75">
        <v>51738</v>
      </c>
      <c r="AP11" s="75">
        <v>47453</v>
      </c>
      <c r="AQ11" s="75">
        <v>50731</v>
      </c>
      <c r="AR11" s="75">
        <v>49064</v>
      </c>
      <c r="AS11" s="75">
        <v>51573</v>
      </c>
      <c r="AT11" s="75">
        <v>50240</v>
      </c>
      <c r="AU11" s="75">
        <v>40310</v>
      </c>
      <c r="AV11" s="75">
        <v>35117</v>
      </c>
      <c r="AW11" s="75">
        <v>39428</v>
      </c>
      <c r="AX11" s="75">
        <v>44570</v>
      </c>
      <c r="AY11" s="75">
        <v>47539</v>
      </c>
      <c r="AZ11" s="75">
        <v>39993</v>
      </c>
      <c r="BA11" s="75">
        <v>34889</v>
      </c>
    </row>
    <row r="12" spans="1:54" s="47" customFormat="1" ht="13.5" thickBot="1" x14ac:dyDescent="0.25">
      <c r="A12" s="78" t="s">
        <v>174</v>
      </c>
      <c r="B12" s="23">
        <v>116154</v>
      </c>
      <c r="C12" s="23">
        <v>122544</v>
      </c>
      <c r="D12" s="23">
        <v>115896</v>
      </c>
      <c r="E12" s="23">
        <v>113253</v>
      </c>
      <c r="F12" s="23">
        <v>111274</v>
      </c>
      <c r="G12" s="23">
        <v>100292</v>
      </c>
      <c r="H12" s="23">
        <v>96480</v>
      </c>
      <c r="I12" s="23">
        <v>112633</v>
      </c>
      <c r="J12" s="23">
        <v>116028</v>
      </c>
      <c r="K12" s="23">
        <v>116260</v>
      </c>
      <c r="L12" s="23">
        <v>113094</v>
      </c>
      <c r="M12" s="23">
        <v>115536</v>
      </c>
      <c r="N12" s="23">
        <v>111915</v>
      </c>
      <c r="O12" s="23">
        <v>117297</v>
      </c>
      <c r="P12" s="23">
        <v>113368</v>
      </c>
      <c r="Q12" s="23">
        <v>111698</v>
      </c>
      <c r="R12" s="23">
        <v>110415</v>
      </c>
      <c r="S12" s="23">
        <v>116399</v>
      </c>
      <c r="T12" s="23">
        <v>115073</v>
      </c>
      <c r="U12" s="23">
        <v>114199</v>
      </c>
      <c r="V12" s="23">
        <v>111667</v>
      </c>
      <c r="W12" s="23">
        <v>113664</v>
      </c>
      <c r="X12" s="23">
        <v>111952</v>
      </c>
      <c r="Y12" s="23">
        <v>110741</v>
      </c>
      <c r="Z12" s="23">
        <v>114295</v>
      </c>
      <c r="AA12" s="23">
        <v>104072</v>
      </c>
      <c r="AB12" s="23">
        <v>93418</v>
      </c>
      <c r="AC12" s="23">
        <v>101551</v>
      </c>
      <c r="AD12" s="23">
        <v>108202</v>
      </c>
      <c r="AE12" s="23">
        <v>110381</v>
      </c>
      <c r="AF12" s="23">
        <v>108646</v>
      </c>
      <c r="AG12" s="23">
        <v>114627</v>
      </c>
      <c r="AH12" s="23">
        <v>112903</v>
      </c>
      <c r="AI12" s="23">
        <v>111676</v>
      </c>
      <c r="AJ12" s="23">
        <v>107783</v>
      </c>
      <c r="AK12" s="23">
        <v>104411</v>
      </c>
      <c r="AL12" s="23">
        <v>116359</v>
      </c>
      <c r="AM12" s="23">
        <v>114754</v>
      </c>
      <c r="AN12" s="23">
        <v>114407</v>
      </c>
      <c r="AO12" s="23">
        <v>113964</v>
      </c>
      <c r="AP12" s="23">
        <v>111707</v>
      </c>
      <c r="AQ12" s="23">
        <v>113674</v>
      </c>
      <c r="AR12" s="23">
        <v>112740</v>
      </c>
      <c r="AS12" s="23">
        <v>115996</v>
      </c>
      <c r="AT12" s="23">
        <v>111927</v>
      </c>
      <c r="AU12" s="23">
        <v>100795</v>
      </c>
      <c r="AV12" s="23">
        <v>89249</v>
      </c>
      <c r="AW12" s="23">
        <v>96806</v>
      </c>
      <c r="AX12" s="23">
        <v>102637</v>
      </c>
      <c r="AY12" s="23">
        <v>108154</v>
      </c>
      <c r="AZ12" s="23">
        <v>96024</v>
      </c>
      <c r="BA12" s="23">
        <v>83267</v>
      </c>
    </row>
    <row r="13" spans="1:54" s="47" customFormat="1" ht="13.5" thickTop="1" x14ac:dyDescent="0.2">
      <c r="A13" s="76"/>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row>
    <row r="14" spans="1:54" s="47" customFormat="1" x14ac:dyDescent="0.2">
      <c r="A14" s="73" t="s">
        <v>175</v>
      </c>
    </row>
    <row r="15" spans="1:54" s="47" customFormat="1" x14ac:dyDescent="0.2">
      <c r="A15" s="74" t="s">
        <v>155</v>
      </c>
      <c r="B15" s="75">
        <v>521.61509899999999</v>
      </c>
      <c r="C15" s="75">
        <v>573.49247700000001</v>
      </c>
      <c r="D15" s="75">
        <v>565.76848099999995</v>
      </c>
      <c r="E15" s="75">
        <v>524.71083899999996</v>
      </c>
      <c r="F15" s="75">
        <v>506.38423599999999</v>
      </c>
      <c r="G15" s="75">
        <v>411.05690700000002</v>
      </c>
      <c r="H15" s="75">
        <v>478.89869599999997</v>
      </c>
      <c r="I15" s="75">
        <v>541.93649700000003</v>
      </c>
      <c r="J15" s="75">
        <v>513.07962099999997</v>
      </c>
      <c r="K15" s="75">
        <v>549.91159100000004</v>
      </c>
      <c r="L15" s="75">
        <v>519.508511</v>
      </c>
      <c r="M15" s="75">
        <v>559.64440999999999</v>
      </c>
      <c r="N15" s="75">
        <v>534.84059200000002</v>
      </c>
      <c r="O15" s="75">
        <v>550.40711599999997</v>
      </c>
      <c r="P15" s="75">
        <v>546.12736900000004</v>
      </c>
      <c r="Q15" s="75">
        <v>530.19771900000001</v>
      </c>
      <c r="R15" s="75">
        <v>572.78727500000002</v>
      </c>
      <c r="S15" s="75">
        <v>552.05640800000003</v>
      </c>
      <c r="T15" s="75">
        <v>542.72724700000003</v>
      </c>
      <c r="U15" s="75">
        <v>553.51588300000003</v>
      </c>
      <c r="V15" s="75">
        <v>498.69557800000001</v>
      </c>
      <c r="W15" s="75">
        <v>558.42098199999998</v>
      </c>
      <c r="X15" s="75">
        <v>542.84265600000003</v>
      </c>
      <c r="Y15" s="75">
        <v>535.35023000000001</v>
      </c>
      <c r="Z15" s="75">
        <v>504.827046</v>
      </c>
      <c r="AA15" s="75">
        <v>415.23724800000002</v>
      </c>
      <c r="AB15" s="75">
        <v>432.95941099999999</v>
      </c>
      <c r="AC15" s="75">
        <v>455.65425900000002</v>
      </c>
      <c r="AD15" s="75">
        <v>481.34723200000002</v>
      </c>
      <c r="AE15" s="75">
        <v>465.553808</v>
      </c>
      <c r="AF15" s="75">
        <v>444.80654500000003</v>
      </c>
      <c r="AG15" s="75">
        <v>492.66173400000002</v>
      </c>
      <c r="AH15" s="75">
        <v>475.88558499999999</v>
      </c>
      <c r="AI15" s="75">
        <v>486.07444400000003</v>
      </c>
      <c r="AJ15" s="75">
        <v>482.86032899999998</v>
      </c>
      <c r="AK15" s="75">
        <v>480.24370199999998</v>
      </c>
      <c r="AL15" s="75">
        <v>520.71315300000003</v>
      </c>
      <c r="AM15" s="75">
        <v>479.38917199999997</v>
      </c>
      <c r="AN15" s="75">
        <v>484.54341199999999</v>
      </c>
      <c r="AO15" s="75">
        <v>494.51860099999999</v>
      </c>
      <c r="AP15" s="75">
        <v>481.12689999999998</v>
      </c>
      <c r="AQ15" s="75">
        <v>502.01299799999998</v>
      </c>
      <c r="AR15" s="75">
        <v>511.59970700000002</v>
      </c>
      <c r="AS15" s="75">
        <v>526.14571599999999</v>
      </c>
      <c r="AT15" s="75">
        <v>453.54314900000003</v>
      </c>
      <c r="AU15" s="75">
        <v>517.21747600000003</v>
      </c>
      <c r="AV15" s="75">
        <v>436.26963899999998</v>
      </c>
      <c r="AW15" s="75">
        <v>443.51489900000001</v>
      </c>
      <c r="AX15" s="75">
        <v>414.84680800000001</v>
      </c>
      <c r="AY15" s="75">
        <v>485.37098500000002</v>
      </c>
      <c r="AZ15" s="75">
        <v>415.35520000000002</v>
      </c>
      <c r="BA15" s="75">
        <v>326.63437199999998</v>
      </c>
    </row>
    <row r="16" spans="1:54" s="47" customFormat="1" x14ac:dyDescent="0.2">
      <c r="A16" s="76" t="s">
        <v>157</v>
      </c>
      <c r="B16" s="75">
        <v>891.85189300000002</v>
      </c>
      <c r="C16" s="75">
        <v>886.344516</v>
      </c>
      <c r="D16" s="75">
        <v>890.97824800000001</v>
      </c>
      <c r="E16" s="75">
        <v>869.311103</v>
      </c>
      <c r="F16" s="75">
        <v>833.448083</v>
      </c>
      <c r="G16" s="75">
        <v>700.97189500000002</v>
      </c>
      <c r="H16" s="75">
        <v>797.02602400000001</v>
      </c>
      <c r="I16" s="75">
        <v>913.76432999999997</v>
      </c>
      <c r="J16" s="75">
        <v>870.096812</v>
      </c>
      <c r="K16" s="75">
        <v>842.37505999999996</v>
      </c>
      <c r="L16" s="75">
        <v>873.39273000000003</v>
      </c>
      <c r="M16" s="75">
        <v>764.70252200000004</v>
      </c>
      <c r="N16" s="75">
        <v>708.02828599999998</v>
      </c>
      <c r="O16" s="75">
        <v>770.46616600000004</v>
      </c>
      <c r="P16" s="75">
        <v>797.88381900000002</v>
      </c>
      <c r="Q16" s="75">
        <v>728.52126299999998</v>
      </c>
      <c r="R16" s="75">
        <v>796.50095799999997</v>
      </c>
      <c r="S16" s="75">
        <v>735.78345999999999</v>
      </c>
      <c r="T16" s="75">
        <v>782.98121300000003</v>
      </c>
      <c r="U16" s="75">
        <v>756.74326900000005</v>
      </c>
      <c r="V16" s="75">
        <v>736.72911099999999</v>
      </c>
      <c r="W16" s="75">
        <v>837.44302900000002</v>
      </c>
      <c r="X16" s="75">
        <v>727.53391999999997</v>
      </c>
      <c r="Y16" s="75">
        <v>841.86877700000002</v>
      </c>
      <c r="Z16" s="75">
        <v>794.21698300000003</v>
      </c>
      <c r="AA16" s="75">
        <v>769.30576499999995</v>
      </c>
      <c r="AB16" s="75">
        <v>759.77169700000002</v>
      </c>
      <c r="AC16" s="75">
        <v>752.09016899999995</v>
      </c>
      <c r="AD16" s="75">
        <v>822.56204300000002</v>
      </c>
      <c r="AE16" s="75">
        <v>832.42102599999998</v>
      </c>
      <c r="AF16" s="75">
        <v>833.21198300000003</v>
      </c>
      <c r="AG16" s="75">
        <v>805.99216300000001</v>
      </c>
      <c r="AH16" s="75">
        <v>824.61366499999997</v>
      </c>
      <c r="AI16" s="75">
        <v>793.93928700000004</v>
      </c>
      <c r="AJ16" s="75">
        <v>791.67695100000003</v>
      </c>
      <c r="AK16" s="75">
        <v>865.06956200000002</v>
      </c>
      <c r="AL16" s="75">
        <v>811.31710499999997</v>
      </c>
      <c r="AM16" s="75">
        <v>887.76275399999997</v>
      </c>
      <c r="AN16" s="75">
        <v>832.20319800000004</v>
      </c>
      <c r="AO16" s="75">
        <v>835.01056500000004</v>
      </c>
      <c r="AP16" s="75">
        <v>823.98643800000002</v>
      </c>
      <c r="AQ16" s="75">
        <v>857.73119699999995</v>
      </c>
      <c r="AR16" s="75">
        <v>846.17924800000003</v>
      </c>
      <c r="AS16" s="75">
        <v>958.16109900000004</v>
      </c>
      <c r="AT16" s="75">
        <v>856.16159000000005</v>
      </c>
      <c r="AU16" s="75">
        <v>775.58354999999995</v>
      </c>
      <c r="AV16" s="75">
        <v>828.32333500000004</v>
      </c>
      <c r="AW16" s="75">
        <v>778.369463</v>
      </c>
      <c r="AX16" s="75">
        <v>842.997343</v>
      </c>
      <c r="AY16" s="75">
        <v>804.33408299999996</v>
      </c>
      <c r="AZ16" s="75">
        <v>887.14379899999994</v>
      </c>
      <c r="BA16" s="75">
        <v>710.31911300000002</v>
      </c>
    </row>
    <row r="17" spans="1:53" s="47" customFormat="1" x14ac:dyDescent="0.2">
      <c r="A17" s="76" t="s">
        <v>159</v>
      </c>
      <c r="B17" s="75">
        <v>473.973682</v>
      </c>
      <c r="C17" s="75">
        <v>497.99846500000001</v>
      </c>
      <c r="D17" s="75">
        <v>493.25926600000003</v>
      </c>
      <c r="E17" s="75">
        <v>529.29399799999999</v>
      </c>
      <c r="F17" s="75">
        <v>526.24910999999997</v>
      </c>
      <c r="G17" s="75">
        <v>427.51192099999997</v>
      </c>
      <c r="H17" s="75">
        <v>431.93902200000002</v>
      </c>
      <c r="I17" s="75">
        <v>517.59639300000003</v>
      </c>
      <c r="J17" s="75">
        <v>529.34485600000005</v>
      </c>
      <c r="K17" s="75">
        <v>499.03523999999999</v>
      </c>
      <c r="L17" s="75">
        <v>451.45941599999998</v>
      </c>
      <c r="M17" s="75">
        <v>540.74820499999998</v>
      </c>
      <c r="N17" s="75">
        <v>544.87085200000001</v>
      </c>
      <c r="O17" s="75">
        <v>603.47783800000002</v>
      </c>
      <c r="P17" s="75">
        <v>492.288476</v>
      </c>
      <c r="Q17" s="75">
        <v>512.25332000000003</v>
      </c>
      <c r="R17" s="75">
        <v>452.75609100000003</v>
      </c>
      <c r="S17" s="75">
        <v>483.15729700000003</v>
      </c>
      <c r="T17" s="75">
        <v>445.08084500000001</v>
      </c>
      <c r="U17" s="75">
        <v>470.20963799999998</v>
      </c>
      <c r="V17" s="75">
        <v>554.99225200000001</v>
      </c>
      <c r="W17" s="75">
        <v>534.23671100000001</v>
      </c>
      <c r="X17" s="75">
        <v>463.21660700000001</v>
      </c>
      <c r="Y17" s="75">
        <v>535.45809699999995</v>
      </c>
      <c r="Z17" s="75">
        <v>535.45401500000003</v>
      </c>
      <c r="AA17" s="75">
        <v>586.76129900000001</v>
      </c>
      <c r="AB17" s="75">
        <v>608.924755</v>
      </c>
      <c r="AC17" s="75">
        <v>609.45018600000003</v>
      </c>
      <c r="AD17" s="75">
        <v>572.79203099999995</v>
      </c>
      <c r="AE17" s="75">
        <v>584.406204</v>
      </c>
      <c r="AF17" s="75">
        <v>568.07929300000001</v>
      </c>
      <c r="AG17" s="75">
        <v>603.40297199999998</v>
      </c>
      <c r="AH17" s="75">
        <v>503.89841699999999</v>
      </c>
      <c r="AI17" s="75">
        <v>478.54005599999999</v>
      </c>
      <c r="AJ17" s="75">
        <v>434.49595299999999</v>
      </c>
      <c r="AK17" s="75">
        <v>418.01355999999998</v>
      </c>
      <c r="AL17" s="75">
        <v>524.69046400000002</v>
      </c>
      <c r="AM17" s="75">
        <v>591.59421799999996</v>
      </c>
      <c r="AN17" s="75">
        <v>619.68976099999998</v>
      </c>
      <c r="AO17" s="75">
        <v>564.36010099999999</v>
      </c>
      <c r="AP17" s="75">
        <v>461.05461100000002</v>
      </c>
      <c r="AQ17" s="75">
        <v>527.23219300000005</v>
      </c>
      <c r="AR17" s="75">
        <v>489.4144</v>
      </c>
      <c r="AS17" s="75">
        <v>531.39847699999996</v>
      </c>
      <c r="AT17" s="75">
        <v>493.28700199999997</v>
      </c>
      <c r="AU17" s="75">
        <v>442.77789200000001</v>
      </c>
      <c r="AV17" s="75">
        <v>511.93994300000003</v>
      </c>
      <c r="AW17" s="75">
        <v>550.92908</v>
      </c>
      <c r="AX17" s="75">
        <v>487.063939</v>
      </c>
      <c r="AY17" s="75">
        <v>549.92746</v>
      </c>
      <c r="AZ17" s="75">
        <v>434.82508899999999</v>
      </c>
      <c r="BA17" s="75">
        <v>390.89581099999998</v>
      </c>
    </row>
    <row r="18" spans="1:53" s="47" customFormat="1" x14ac:dyDescent="0.2">
      <c r="A18" s="76" t="s">
        <v>161</v>
      </c>
      <c r="B18" s="75">
        <v>40.106012999999997</v>
      </c>
      <c r="C18" s="75">
        <v>45.196078999999997</v>
      </c>
      <c r="D18" s="75">
        <v>53.837454999999999</v>
      </c>
      <c r="E18" s="75">
        <v>50.608826000000001</v>
      </c>
      <c r="F18" s="75">
        <v>47.532519999999998</v>
      </c>
      <c r="G18" s="75">
        <v>46.499479999999998</v>
      </c>
      <c r="H18" s="75">
        <v>47.885649000000001</v>
      </c>
      <c r="I18" s="75">
        <v>47.991674000000003</v>
      </c>
      <c r="J18" s="75">
        <v>64.670180999999999</v>
      </c>
      <c r="K18" s="75">
        <v>56.725721999999998</v>
      </c>
      <c r="L18" s="75">
        <v>69.784909999999996</v>
      </c>
      <c r="M18" s="75">
        <v>55.074494999999999</v>
      </c>
      <c r="N18" s="75">
        <v>42.496858000000003</v>
      </c>
      <c r="O18" s="75">
        <v>42.733832999999997</v>
      </c>
      <c r="P18" s="75">
        <v>43.856279000000001</v>
      </c>
      <c r="Q18" s="75">
        <v>42.104004000000003</v>
      </c>
      <c r="R18" s="75">
        <v>46.207773000000003</v>
      </c>
      <c r="S18" s="75">
        <v>42.734972999999997</v>
      </c>
      <c r="T18" s="75">
        <v>49.329673999999997</v>
      </c>
      <c r="U18" s="75">
        <v>48.531759000000001</v>
      </c>
      <c r="V18" s="75">
        <v>55.332901</v>
      </c>
      <c r="W18" s="75">
        <v>46.407572000000002</v>
      </c>
      <c r="X18" s="75">
        <v>45.874955</v>
      </c>
      <c r="Y18" s="75">
        <v>39.011398</v>
      </c>
      <c r="Z18" s="75">
        <v>55.451214999999998</v>
      </c>
      <c r="AA18" s="75">
        <v>48.622238000000003</v>
      </c>
      <c r="AB18" s="75">
        <v>39.122819999999997</v>
      </c>
      <c r="AC18" s="75">
        <v>36.896154000000003</v>
      </c>
      <c r="AD18" s="75">
        <v>43.092500999999999</v>
      </c>
      <c r="AE18" s="75">
        <v>48.485731000000001</v>
      </c>
      <c r="AF18" s="75">
        <v>41.774644000000002</v>
      </c>
      <c r="AG18" s="75">
        <v>41.532308999999998</v>
      </c>
      <c r="AH18" s="75">
        <v>49.395544000000001</v>
      </c>
      <c r="AI18" s="75">
        <v>45.424264999999998</v>
      </c>
      <c r="AJ18" s="75">
        <v>36.957649000000004</v>
      </c>
      <c r="AK18" s="75">
        <v>35.847048999999998</v>
      </c>
      <c r="AL18" s="75">
        <v>47.098833999999997</v>
      </c>
      <c r="AM18" s="75">
        <v>42.047702000000001</v>
      </c>
      <c r="AN18" s="75">
        <v>44.970427000000001</v>
      </c>
      <c r="AO18" s="75">
        <v>47.538170000000001</v>
      </c>
      <c r="AP18" s="75">
        <v>40.022551</v>
      </c>
      <c r="AQ18" s="75">
        <v>51.215583000000002</v>
      </c>
      <c r="AR18" s="75">
        <v>44.965367000000001</v>
      </c>
      <c r="AS18" s="75">
        <v>39.084116999999999</v>
      </c>
      <c r="AT18" s="75">
        <v>40.008929999999999</v>
      </c>
      <c r="AU18" s="75">
        <v>41.597023999999998</v>
      </c>
      <c r="AV18" s="75">
        <v>37.928026000000003</v>
      </c>
      <c r="AW18" s="75">
        <v>43.452103000000001</v>
      </c>
      <c r="AX18" s="75">
        <v>49.927697000000002</v>
      </c>
      <c r="AY18" s="75">
        <v>48.951089000000003</v>
      </c>
      <c r="AZ18" s="75">
        <v>39.807963999999998</v>
      </c>
      <c r="BA18" s="75">
        <v>36.150655</v>
      </c>
    </row>
    <row r="19" spans="1:53" s="47" customFormat="1" x14ac:dyDescent="0.2">
      <c r="A19" s="76" t="s">
        <v>163</v>
      </c>
      <c r="B19" s="75">
        <v>332.36841399999997</v>
      </c>
      <c r="C19" s="75">
        <v>372.72290500000003</v>
      </c>
      <c r="D19" s="75">
        <v>401.091408</v>
      </c>
      <c r="E19" s="75">
        <v>376.801333</v>
      </c>
      <c r="F19" s="75">
        <v>322.20892700000002</v>
      </c>
      <c r="G19" s="75">
        <v>269.13736699999998</v>
      </c>
      <c r="H19" s="75">
        <v>273.046898</v>
      </c>
      <c r="I19" s="75">
        <v>322.54616399999998</v>
      </c>
      <c r="J19" s="75">
        <v>282.70705099999998</v>
      </c>
      <c r="K19" s="75">
        <v>316.20331099999999</v>
      </c>
      <c r="L19" s="75">
        <v>232.23547400000001</v>
      </c>
      <c r="M19" s="75">
        <v>279.66841899999997</v>
      </c>
      <c r="N19" s="75">
        <v>254.49800200000001</v>
      </c>
      <c r="O19" s="75">
        <v>299.01750099999998</v>
      </c>
      <c r="P19" s="75">
        <v>330.46297499999997</v>
      </c>
      <c r="Q19" s="75">
        <v>328.79936800000002</v>
      </c>
      <c r="R19" s="75">
        <v>352.45307200000002</v>
      </c>
      <c r="S19" s="75">
        <v>353.55953099999999</v>
      </c>
      <c r="T19" s="75">
        <v>391.59042899999997</v>
      </c>
      <c r="U19" s="75">
        <v>413.93390499999998</v>
      </c>
      <c r="V19" s="75">
        <v>366.38644599999998</v>
      </c>
      <c r="W19" s="75">
        <v>389.65313200000003</v>
      </c>
      <c r="X19" s="75">
        <v>347.93798700000002</v>
      </c>
      <c r="Y19" s="75">
        <v>409.86829</v>
      </c>
      <c r="Z19" s="75">
        <v>356.19280900000001</v>
      </c>
      <c r="AA19" s="75">
        <v>355.05595</v>
      </c>
      <c r="AB19" s="75">
        <v>344.02936599999998</v>
      </c>
      <c r="AC19" s="75">
        <v>348.39817900000003</v>
      </c>
      <c r="AD19" s="75">
        <v>371.96068300000002</v>
      </c>
      <c r="AE19" s="75">
        <v>360.58229499999999</v>
      </c>
      <c r="AF19" s="75">
        <v>402.93854299999998</v>
      </c>
      <c r="AG19" s="75">
        <v>427.57891499999999</v>
      </c>
      <c r="AH19" s="75">
        <v>410.58072299999998</v>
      </c>
      <c r="AI19" s="75">
        <v>447.30706300000003</v>
      </c>
      <c r="AJ19" s="75">
        <v>383.266074</v>
      </c>
      <c r="AK19" s="75">
        <v>388.85897899999998</v>
      </c>
      <c r="AL19" s="75">
        <v>381.76252099999999</v>
      </c>
      <c r="AM19" s="75">
        <v>419.76004899999998</v>
      </c>
      <c r="AN19" s="75">
        <v>430.72863100000001</v>
      </c>
      <c r="AO19" s="75">
        <v>467.453757</v>
      </c>
      <c r="AP19" s="75">
        <v>378.173294</v>
      </c>
      <c r="AQ19" s="75">
        <v>303.89921099999998</v>
      </c>
      <c r="AR19" s="75">
        <v>344.97114299999998</v>
      </c>
      <c r="AS19" s="75">
        <v>364.07162599999998</v>
      </c>
      <c r="AT19" s="75">
        <v>365.527331</v>
      </c>
      <c r="AU19" s="75">
        <v>449.19187799999997</v>
      </c>
      <c r="AV19" s="75">
        <v>273.01662900000002</v>
      </c>
      <c r="AW19" s="75">
        <v>299.76208300000002</v>
      </c>
      <c r="AX19" s="75">
        <v>332.61748699999998</v>
      </c>
      <c r="AY19" s="75">
        <v>391.049127</v>
      </c>
      <c r="AZ19" s="75">
        <v>314.13094000000001</v>
      </c>
      <c r="BA19" s="75">
        <v>232.43127799999999</v>
      </c>
    </row>
    <row r="20" spans="1:53" s="47" customFormat="1" x14ac:dyDescent="0.2">
      <c r="A20" s="77" t="s">
        <v>165</v>
      </c>
      <c r="B20" s="75">
        <v>1417.7395610000001</v>
      </c>
      <c r="C20" s="75">
        <v>1517.9837339999999</v>
      </c>
      <c r="D20" s="75">
        <v>1570.536492</v>
      </c>
      <c r="E20" s="75">
        <v>1407.5233860000001</v>
      </c>
      <c r="F20" s="75">
        <v>1322.398222</v>
      </c>
      <c r="G20" s="75">
        <v>1160.7831470000001</v>
      </c>
      <c r="H20" s="75">
        <v>1099.400118</v>
      </c>
      <c r="I20" s="75">
        <v>1275.6317019999999</v>
      </c>
      <c r="J20" s="75">
        <v>1457.1682069999999</v>
      </c>
      <c r="K20" s="75">
        <v>1560.604411</v>
      </c>
      <c r="L20" s="75">
        <v>1455.2944130000001</v>
      </c>
      <c r="M20" s="75">
        <v>1565.9987329999999</v>
      </c>
      <c r="N20" s="75">
        <v>1283.937416</v>
      </c>
      <c r="O20" s="75">
        <v>1475.5349200000001</v>
      </c>
      <c r="P20" s="75">
        <v>1480.80574</v>
      </c>
      <c r="Q20" s="75">
        <v>1293.9670530000001</v>
      </c>
      <c r="R20" s="75">
        <v>1274.275369</v>
      </c>
      <c r="S20" s="75">
        <v>1181.4761450000001</v>
      </c>
      <c r="T20" s="75">
        <v>1077.5230690000001</v>
      </c>
      <c r="U20" s="75">
        <v>1005.028471</v>
      </c>
      <c r="V20" s="75">
        <v>1063.515946</v>
      </c>
      <c r="W20" s="75">
        <v>1025.631879</v>
      </c>
      <c r="X20" s="75">
        <v>1050.1047149999999</v>
      </c>
      <c r="Y20" s="75">
        <v>992.86742300000003</v>
      </c>
      <c r="Z20" s="75">
        <v>965.12645699999996</v>
      </c>
      <c r="AA20" s="75">
        <v>839.74269900000002</v>
      </c>
      <c r="AB20" s="75">
        <v>793.01100199999996</v>
      </c>
      <c r="AC20" s="75">
        <v>783.20378600000004</v>
      </c>
      <c r="AD20" s="75">
        <v>838.23727399999996</v>
      </c>
      <c r="AE20" s="75">
        <v>943.19016099999999</v>
      </c>
      <c r="AF20" s="75">
        <v>820.68099099999995</v>
      </c>
      <c r="AG20" s="75">
        <v>903.29595600000005</v>
      </c>
      <c r="AH20" s="75">
        <v>931.03263800000002</v>
      </c>
      <c r="AI20" s="75">
        <v>856.759097</v>
      </c>
      <c r="AJ20" s="75">
        <v>886.82486400000005</v>
      </c>
      <c r="AK20" s="75">
        <v>939.44350599999996</v>
      </c>
      <c r="AL20" s="75">
        <v>1056.664808</v>
      </c>
      <c r="AM20" s="75">
        <v>977.85132299999998</v>
      </c>
      <c r="AN20" s="75">
        <v>1055.064449</v>
      </c>
      <c r="AO20" s="75">
        <v>1174.878303</v>
      </c>
      <c r="AP20" s="75">
        <v>1180.742295</v>
      </c>
      <c r="AQ20" s="75">
        <v>1107.6259600000001</v>
      </c>
      <c r="AR20" s="75">
        <v>1189.2385059999999</v>
      </c>
      <c r="AS20" s="75">
        <v>1148.875589</v>
      </c>
      <c r="AT20" s="75">
        <v>1144.4318290000001</v>
      </c>
      <c r="AU20" s="75">
        <v>1077.4850590000001</v>
      </c>
      <c r="AV20" s="75">
        <v>872.88140299999998</v>
      </c>
      <c r="AW20" s="75">
        <v>977.59888999999998</v>
      </c>
      <c r="AX20" s="75">
        <v>1104.6621500000001</v>
      </c>
      <c r="AY20" s="75">
        <v>1228.3460259999999</v>
      </c>
      <c r="AZ20" s="75">
        <v>981.83815400000003</v>
      </c>
      <c r="BA20" s="75">
        <v>750.77748799999995</v>
      </c>
    </row>
    <row r="21" spans="1:53" s="47" customFormat="1" x14ac:dyDescent="0.2">
      <c r="A21" s="76" t="s">
        <v>167</v>
      </c>
      <c r="B21" s="75">
        <v>1277.117129</v>
      </c>
      <c r="C21" s="75">
        <v>1208.612887</v>
      </c>
      <c r="D21" s="75">
        <v>1227.7520529999999</v>
      </c>
      <c r="E21" s="75">
        <v>1227.551361</v>
      </c>
      <c r="F21" s="75">
        <v>1167.349917</v>
      </c>
      <c r="G21" s="75">
        <v>1111.1181429999999</v>
      </c>
      <c r="H21" s="75">
        <v>1039.6138840000001</v>
      </c>
      <c r="I21" s="75">
        <v>1158.2615539999999</v>
      </c>
      <c r="J21" s="75">
        <v>1246.499726</v>
      </c>
      <c r="K21" s="75">
        <v>1282.3319289999999</v>
      </c>
      <c r="L21" s="75">
        <v>1226.970063</v>
      </c>
      <c r="M21" s="75">
        <v>1245.329117</v>
      </c>
      <c r="N21" s="75">
        <v>1201.9317470000001</v>
      </c>
      <c r="O21" s="75">
        <v>1241.564122</v>
      </c>
      <c r="P21" s="75">
        <v>1136.582265</v>
      </c>
      <c r="Q21" s="75">
        <v>1208.263643</v>
      </c>
      <c r="R21" s="75">
        <v>1100.081062</v>
      </c>
      <c r="S21" s="75">
        <v>1275.7933969999999</v>
      </c>
      <c r="T21" s="75">
        <v>1249.8893290000001</v>
      </c>
      <c r="U21" s="75">
        <v>1241.0954019999999</v>
      </c>
      <c r="V21" s="75">
        <v>1100.2288169999999</v>
      </c>
      <c r="W21" s="75">
        <v>1197.9973090000001</v>
      </c>
      <c r="X21" s="75">
        <v>1179.1777950000001</v>
      </c>
      <c r="Y21" s="75">
        <v>1127.584087</v>
      </c>
      <c r="Z21" s="75">
        <v>1230.4113829999999</v>
      </c>
      <c r="AA21" s="75">
        <v>1003.43976</v>
      </c>
      <c r="AB21" s="75">
        <v>815.25833599999999</v>
      </c>
      <c r="AC21" s="75">
        <v>1019.103509</v>
      </c>
      <c r="AD21" s="75">
        <v>1193.214397</v>
      </c>
      <c r="AE21" s="75">
        <v>1170.0306479999999</v>
      </c>
      <c r="AF21" s="75">
        <v>1069.1074160000001</v>
      </c>
      <c r="AG21" s="75">
        <v>1209.1049330000001</v>
      </c>
      <c r="AH21" s="75">
        <v>1128.4255539999999</v>
      </c>
      <c r="AI21" s="75">
        <v>1123.3841339999999</v>
      </c>
      <c r="AJ21" s="75">
        <v>1106.047693</v>
      </c>
      <c r="AK21" s="75">
        <v>934.68715599999996</v>
      </c>
      <c r="AL21" s="75">
        <v>1160.680413</v>
      </c>
      <c r="AM21" s="75">
        <v>1134.2221870000001</v>
      </c>
      <c r="AN21" s="75">
        <v>1124.0647329999999</v>
      </c>
      <c r="AO21" s="75">
        <v>1156.899987</v>
      </c>
      <c r="AP21" s="75">
        <v>1074.2831779999999</v>
      </c>
      <c r="AQ21" s="75">
        <v>1121.9899419999999</v>
      </c>
      <c r="AR21" s="75">
        <v>1096.310295</v>
      </c>
      <c r="AS21" s="75">
        <v>1193.745285</v>
      </c>
      <c r="AT21" s="75">
        <v>1134.2035960000001</v>
      </c>
      <c r="AU21" s="75">
        <v>910.38901499999997</v>
      </c>
      <c r="AV21" s="75">
        <v>722.963751</v>
      </c>
      <c r="AW21" s="75">
        <v>939.76914999999997</v>
      </c>
      <c r="AX21" s="75">
        <v>1084.7133690000001</v>
      </c>
      <c r="AY21" s="75">
        <v>1125.16005</v>
      </c>
      <c r="AZ21" s="75">
        <v>927.45378400000004</v>
      </c>
      <c r="BA21" s="75">
        <v>735.26635299999998</v>
      </c>
    </row>
    <row r="22" spans="1:53" s="47" customFormat="1" ht="13.5" thickBot="1" x14ac:dyDescent="0.25">
      <c r="A22" s="78" t="s">
        <v>176</v>
      </c>
      <c r="B22" s="23">
        <v>4954.7717910000001</v>
      </c>
      <c r="C22" s="23">
        <v>5102.3510630000001</v>
      </c>
      <c r="D22" s="23">
        <v>5203.223403</v>
      </c>
      <c r="E22" s="23">
        <v>4985.8008460000001</v>
      </c>
      <c r="F22" s="23">
        <v>4725.5710149999995</v>
      </c>
      <c r="G22" s="23">
        <v>4127.0788599999996</v>
      </c>
      <c r="H22" s="23">
        <v>4167.8102910000007</v>
      </c>
      <c r="I22" s="23">
        <v>4777.728314</v>
      </c>
      <c r="J22" s="23">
        <v>4963.5664539999998</v>
      </c>
      <c r="K22" s="23">
        <v>5107.1872640000001</v>
      </c>
      <c r="L22" s="23">
        <v>4828.6455169999999</v>
      </c>
      <c r="M22" s="23">
        <v>5011.1659009999994</v>
      </c>
      <c r="N22" s="23">
        <v>4570.6037529999994</v>
      </c>
      <c r="O22" s="23">
        <v>4983.2014959999997</v>
      </c>
      <c r="P22" s="23">
        <v>4828.0069229999999</v>
      </c>
      <c r="Q22" s="23">
        <v>4644.1063700000004</v>
      </c>
      <c r="R22" s="23">
        <v>4595.0616</v>
      </c>
      <c r="S22" s="23">
        <v>4624.5612110000002</v>
      </c>
      <c r="T22" s="23">
        <v>4539.121806000001</v>
      </c>
      <c r="U22" s="23">
        <v>4489.0583270000006</v>
      </c>
      <c r="V22" s="23">
        <v>4375.8810509999994</v>
      </c>
      <c r="W22" s="23">
        <v>4589.7906140000005</v>
      </c>
      <c r="X22" s="23">
        <v>4356.6886350000004</v>
      </c>
      <c r="Y22" s="23">
        <v>4482.0083020000002</v>
      </c>
      <c r="Z22" s="23">
        <v>4441.6799080000001</v>
      </c>
      <c r="AA22" s="23">
        <v>4018.1649589999997</v>
      </c>
      <c r="AB22" s="23">
        <v>3793.0773870000003</v>
      </c>
      <c r="AC22" s="23">
        <v>4004.7962419999999</v>
      </c>
      <c r="AD22" s="23">
        <v>4323.2061610000001</v>
      </c>
      <c r="AE22" s="23">
        <v>4404.6698729999998</v>
      </c>
      <c r="AF22" s="23">
        <v>4180.5994149999997</v>
      </c>
      <c r="AG22" s="23">
        <v>4483.5689819999998</v>
      </c>
      <c r="AH22" s="23">
        <v>4323.8321259999993</v>
      </c>
      <c r="AI22" s="23">
        <v>4231.4283460000006</v>
      </c>
      <c r="AJ22" s="23">
        <v>4122.1295129999999</v>
      </c>
      <c r="AK22" s="23">
        <v>4062.1635139999999</v>
      </c>
      <c r="AL22" s="23">
        <v>4502.9272980000005</v>
      </c>
      <c r="AM22" s="23">
        <v>4532.6274050000002</v>
      </c>
      <c r="AN22" s="23">
        <v>4591.2646110000005</v>
      </c>
      <c r="AO22" s="23">
        <v>4740.6594839999998</v>
      </c>
      <c r="AP22" s="23">
        <v>4439.3892670000005</v>
      </c>
      <c r="AQ22" s="23">
        <v>4471.7070840000006</v>
      </c>
      <c r="AR22" s="23">
        <v>4522.6786659999998</v>
      </c>
      <c r="AS22" s="23">
        <v>4761.4819090000001</v>
      </c>
      <c r="AT22" s="23">
        <v>4487.1634270000004</v>
      </c>
      <c r="AU22" s="23">
        <v>4214.2418939999998</v>
      </c>
      <c r="AV22" s="23">
        <v>3683.3227260000003</v>
      </c>
      <c r="AW22" s="23">
        <v>4033.3956680000001</v>
      </c>
      <c r="AX22" s="23">
        <v>4316.8287930000006</v>
      </c>
      <c r="AY22" s="23">
        <v>4633.1388200000001</v>
      </c>
      <c r="AZ22" s="23">
        <v>4000.5549300000002</v>
      </c>
      <c r="BA22" s="23">
        <v>3182.4750699999995</v>
      </c>
    </row>
    <row r="23" spans="1:53" s="47" customFormat="1" ht="13.5" thickTop="1" x14ac:dyDescent="0.2"/>
    <row r="24" spans="1:53" s="47" customFormat="1" ht="15" x14ac:dyDescent="0.25">
      <c r="M24" s="80"/>
    </row>
    <row r="25" spans="1:53" s="47" customFormat="1" x14ac:dyDescent="0.2"/>
    <row r="26" spans="1:53" s="47" customFormat="1" x14ac:dyDescent="0.2"/>
    <row r="27" spans="1:53" s="47" customFormat="1" x14ac:dyDescent="0.2"/>
    <row r="28" spans="1:53" s="47" customFormat="1" x14ac:dyDescent="0.2"/>
    <row r="29" spans="1:53" s="47" customFormat="1" x14ac:dyDescent="0.2"/>
    <row r="30" spans="1:53" s="47" customFormat="1" x14ac:dyDescent="0.2"/>
    <row r="31" spans="1:53" s="47" customFormat="1" x14ac:dyDescent="0.2"/>
    <row r="32" spans="1:53" s="47" customFormat="1" x14ac:dyDescent="0.2"/>
    <row r="33" s="47" customFormat="1" x14ac:dyDescent="0.2"/>
    <row r="34" s="47" customFormat="1" x14ac:dyDescent="0.2"/>
    <row r="35" s="47" customFormat="1" x14ac:dyDescent="0.2"/>
    <row r="36" s="47" customFormat="1" x14ac:dyDescent="0.2"/>
    <row r="37" s="47" customFormat="1" x14ac:dyDescent="0.2"/>
    <row r="38" s="47" customFormat="1" x14ac:dyDescent="0.2"/>
    <row r="39" s="47" customFormat="1" x14ac:dyDescent="0.2"/>
    <row r="40" s="47" customFormat="1" x14ac:dyDescent="0.2"/>
    <row r="41" s="47" customFormat="1" x14ac:dyDescent="0.2"/>
    <row r="42" s="47" customFormat="1" x14ac:dyDescent="0.2"/>
    <row r="43" s="47" customFormat="1" x14ac:dyDescent="0.2"/>
    <row r="44" s="47" customFormat="1" x14ac:dyDescent="0.2"/>
    <row r="45" s="47" customFormat="1" x14ac:dyDescent="0.2"/>
    <row r="46" s="47" customFormat="1" x14ac:dyDescent="0.2"/>
    <row r="47" s="47" customFormat="1" x14ac:dyDescent="0.2"/>
    <row r="48" s="47" customFormat="1" x14ac:dyDescent="0.2"/>
    <row r="49" s="47" customFormat="1" x14ac:dyDescent="0.2"/>
    <row r="50" s="47" customFormat="1" x14ac:dyDescent="0.2"/>
    <row r="51" s="47" customFormat="1" x14ac:dyDescent="0.2"/>
    <row r="52" s="47" customFormat="1" x14ac:dyDescent="0.2"/>
    <row r="53" s="47" customFormat="1" x14ac:dyDescent="0.2"/>
    <row r="54" s="47" customFormat="1" x14ac:dyDescent="0.2"/>
  </sheetData>
  <sheetProtection algorithmName="SHA-512" hashValue="rL/WTT9cb1fFg4DP4xvzSyTiEBIsmxyuwIje1jsmJFgtUjeGw/Po2zoJVtBPbZMupR+emYfPwS5gqqfCdiI90A==" saltValue="8IM/YWww8/2EnSACgeH9eA==" spinCount="100000" sheet="1" objects="1" scenarios="1"/>
  <mergeCells count="1">
    <mergeCell ref="A1:BA1"/>
  </mergeCells>
  <pageMargins left="0.17" right="0.17" top="0.17" bottom="0.5" header="0.17" footer="0.5"/>
  <pageSetup scale="70" fitToWidth="0" orientation="landscape" r:id="rId1"/>
  <headerFooter alignWithMargins="0"/>
  <colBreaks count="3" manualBreakCount="3">
    <brk id="14" max="48" man="1"/>
    <brk id="27" max="48" man="1"/>
    <brk id="40" max="48"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95E08-D70B-46D5-8993-0678070EB0A5}">
  <sheetPr codeName="Sheet21">
    <tabColor rgb="FF92D050"/>
  </sheetPr>
  <dimension ref="A1:BB55"/>
  <sheetViews>
    <sheetView workbookViewId="0">
      <selection activeCell="C22" sqref="C22"/>
    </sheetView>
  </sheetViews>
  <sheetFormatPr defaultColWidth="6.7109375" defaultRowHeight="12.75" x14ac:dyDescent="0.2"/>
  <cols>
    <col min="1" max="1" width="50.42578125" style="42" bestFit="1" customWidth="1"/>
    <col min="2" max="2" width="9.42578125" style="43" customWidth="1"/>
    <col min="3" max="52" width="9.42578125" style="42" customWidth="1"/>
    <col min="53" max="53" width="9.5703125" style="42" bestFit="1" customWidth="1"/>
    <col min="54" max="54" width="9.28515625" style="42" bestFit="1" customWidth="1"/>
    <col min="55" max="16384" width="6.7109375" style="42"/>
  </cols>
  <sheetData>
    <row r="1" spans="1:54" ht="23.25" x14ac:dyDescent="0.35">
      <c r="A1" s="145" t="s">
        <v>228</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c r="AE1" s="145"/>
      <c r="AF1" s="145"/>
      <c r="AG1" s="145"/>
      <c r="AH1" s="145"/>
      <c r="AI1" s="145"/>
      <c r="AJ1" s="145"/>
      <c r="AK1" s="145"/>
      <c r="AL1" s="145"/>
      <c r="AM1" s="145"/>
      <c r="AN1" s="145"/>
      <c r="AO1" s="145"/>
      <c r="AP1" s="145"/>
      <c r="AQ1" s="145"/>
      <c r="AR1" s="145"/>
      <c r="AS1" s="145"/>
      <c r="AT1" s="145"/>
      <c r="AU1" s="145"/>
      <c r="AV1" s="145"/>
      <c r="AW1" s="145"/>
      <c r="AX1" s="145"/>
      <c r="AY1" s="145"/>
      <c r="AZ1" s="145"/>
      <c r="BA1" s="145"/>
    </row>
    <row r="2" spans="1:54" ht="24" x14ac:dyDescent="0.2">
      <c r="A2" s="79" t="s">
        <v>215</v>
      </c>
      <c r="B2" s="5">
        <v>1</v>
      </c>
      <c r="C2" s="5">
        <v>2</v>
      </c>
      <c r="D2" s="5">
        <v>3</v>
      </c>
      <c r="E2" s="5">
        <v>4</v>
      </c>
      <c r="F2" s="5">
        <v>5</v>
      </c>
      <c r="G2" s="5">
        <v>6</v>
      </c>
      <c r="H2" s="5">
        <v>7</v>
      </c>
      <c r="I2" s="5">
        <v>8</v>
      </c>
      <c r="J2" s="5">
        <v>9</v>
      </c>
      <c r="K2" s="5">
        <v>10</v>
      </c>
      <c r="L2" s="5">
        <v>11</v>
      </c>
      <c r="M2" s="5">
        <v>12</v>
      </c>
      <c r="N2" s="5">
        <v>13</v>
      </c>
      <c r="O2" s="5">
        <v>14</v>
      </c>
      <c r="P2" s="5">
        <v>15</v>
      </c>
      <c r="Q2" s="5">
        <v>16</v>
      </c>
      <c r="R2" s="5">
        <v>17</v>
      </c>
      <c r="S2" s="5">
        <v>18</v>
      </c>
      <c r="T2" s="5">
        <v>19</v>
      </c>
      <c r="U2" s="5">
        <v>20</v>
      </c>
      <c r="V2" s="5">
        <v>21</v>
      </c>
      <c r="W2" s="5">
        <v>22</v>
      </c>
      <c r="X2" s="5">
        <v>23</v>
      </c>
      <c r="Y2" s="5">
        <v>24</v>
      </c>
      <c r="Z2" s="5">
        <v>25</v>
      </c>
      <c r="AA2" s="5">
        <v>26</v>
      </c>
      <c r="AB2" s="5">
        <v>27</v>
      </c>
      <c r="AC2" s="5">
        <v>28</v>
      </c>
      <c r="AD2" s="5">
        <v>29</v>
      </c>
      <c r="AE2" s="5">
        <v>30</v>
      </c>
      <c r="AF2" s="5">
        <v>31</v>
      </c>
      <c r="AG2" s="5">
        <v>32</v>
      </c>
      <c r="AH2" s="5">
        <v>33</v>
      </c>
      <c r="AI2" s="5">
        <v>34</v>
      </c>
      <c r="AJ2" s="5">
        <v>35</v>
      </c>
      <c r="AK2" s="5">
        <v>36</v>
      </c>
      <c r="AL2" s="5">
        <v>37</v>
      </c>
      <c r="AM2" s="5">
        <v>38</v>
      </c>
      <c r="AN2" s="5">
        <v>39</v>
      </c>
      <c r="AO2" s="5">
        <v>40</v>
      </c>
      <c r="AP2" s="5">
        <v>41</v>
      </c>
      <c r="AQ2" s="5">
        <v>42</v>
      </c>
      <c r="AR2" s="5">
        <v>43</v>
      </c>
      <c r="AS2" s="5">
        <v>44</v>
      </c>
      <c r="AT2" s="5">
        <v>45</v>
      </c>
      <c r="AU2" s="5">
        <v>46</v>
      </c>
      <c r="AV2" s="5">
        <v>47</v>
      </c>
      <c r="AW2" s="5">
        <v>48</v>
      </c>
      <c r="AX2" s="5">
        <v>49</v>
      </c>
      <c r="AY2" s="5">
        <v>50</v>
      </c>
      <c r="AZ2" s="5">
        <v>51</v>
      </c>
      <c r="BA2" s="5">
        <v>52</v>
      </c>
      <c r="BB2" s="5">
        <v>53</v>
      </c>
    </row>
    <row r="3" spans="1:54" ht="24.75" thickBot="1" x14ac:dyDescent="0.25">
      <c r="A3" s="79" t="s">
        <v>216</v>
      </c>
      <c r="B3" s="4"/>
      <c r="C3" s="5">
        <v>1</v>
      </c>
      <c r="D3" s="5">
        <v>2</v>
      </c>
      <c r="E3" s="5">
        <v>3</v>
      </c>
      <c r="F3" s="5">
        <v>4</v>
      </c>
      <c r="G3" s="5">
        <v>5</v>
      </c>
      <c r="H3" s="5">
        <v>6</v>
      </c>
      <c r="I3" s="5">
        <v>7</v>
      </c>
      <c r="J3" s="5">
        <v>8</v>
      </c>
      <c r="K3" s="5">
        <v>9</v>
      </c>
      <c r="L3" s="5">
        <v>10</v>
      </c>
      <c r="M3" s="5">
        <v>11</v>
      </c>
      <c r="N3" s="5">
        <v>12</v>
      </c>
      <c r="O3" s="5">
        <v>13</v>
      </c>
      <c r="P3" s="5">
        <v>14</v>
      </c>
      <c r="Q3" s="5">
        <v>15</v>
      </c>
      <c r="R3" s="5">
        <v>16</v>
      </c>
      <c r="S3" s="5">
        <v>17</v>
      </c>
      <c r="T3" s="5">
        <v>18</v>
      </c>
      <c r="U3" s="5">
        <v>19</v>
      </c>
      <c r="V3" s="5">
        <v>20</v>
      </c>
      <c r="W3" s="5">
        <v>21</v>
      </c>
      <c r="X3" s="5">
        <v>22</v>
      </c>
      <c r="Y3" s="5">
        <v>23</v>
      </c>
      <c r="Z3" s="5">
        <v>24</v>
      </c>
      <c r="AA3" s="5">
        <v>25</v>
      </c>
      <c r="AB3" s="5">
        <v>26</v>
      </c>
      <c r="AC3" s="5">
        <v>27</v>
      </c>
      <c r="AD3" s="5">
        <v>28</v>
      </c>
      <c r="AE3" s="5">
        <v>29</v>
      </c>
      <c r="AF3" s="5">
        <v>30</v>
      </c>
      <c r="AG3" s="5">
        <v>31</v>
      </c>
      <c r="AH3" s="5">
        <v>32</v>
      </c>
      <c r="AI3" s="5">
        <v>33</v>
      </c>
      <c r="AJ3" s="5">
        <v>34</v>
      </c>
      <c r="AK3" s="5">
        <v>35</v>
      </c>
      <c r="AL3" s="5">
        <v>36</v>
      </c>
      <c r="AM3" s="5">
        <v>37</v>
      </c>
      <c r="AN3" s="5">
        <v>38</v>
      </c>
      <c r="AO3" s="5">
        <v>39</v>
      </c>
      <c r="AP3" s="5">
        <v>40</v>
      </c>
      <c r="AQ3" s="5">
        <v>41</v>
      </c>
      <c r="AR3" s="5">
        <v>42</v>
      </c>
      <c r="AS3" s="5">
        <v>43</v>
      </c>
      <c r="AT3" s="5">
        <v>44</v>
      </c>
      <c r="AU3" s="5">
        <v>45</v>
      </c>
      <c r="AV3" s="5">
        <v>46</v>
      </c>
      <c r="AW3" s="5">
        <v>47</v>
      </c>
      <c r="AX3" s="5">
        <v>48</v>
      </c>
      <c r="AY3" s="5">
        <v>49</v>
      </c>
      <c r="AZ3" s="5">
        <v>50</v>
      </c>
      <c r="BA3" s="5">
        <v>51</v>
      </c>
      <c r="BB3" s="5">
        <v>52</v>
      </c>
    </row>
    <row r="4" spans="1:54" s="45" customFormat="1" ht="24.75" thickBot="1" x14ac:dyDescent="0.25">
      <c r="A4" s="50" t="s">
        <v>179</v>
      </c>
      <c r="B4" s="51">
        <v>43828</v>
      </c>
      <c r="C4" s="51">
        <v>43835</v>
      </c>
      <c r="D4" s="51">
        <v>43842</v>
      </c>
      <c r="E4" s="51">
        <v>43849</v>
      </c>
      <c r="F4" s="51">
        <v>43856</v>
      </c>
      <c r="G4" s="51">
        <v>43863</v>
      </c>
      <c r="H4" s="51">
        <v>43870</v>
      </c>
      <c r="I4" s="51">
        <v>43877</v>
      </c>
      <c r="J4" s="51">
        <v>43884</v>
      </c>
      <c r="K4" s="51">
        <v>43891</v>
      </c>
      <c r="L4" s="51">
        <v>43898</v>
      </c>
      <c r="M4" s="51">
        <v>43905</v>
      </c>
      <c r="N4" s="51">
        <v>43912</v>
      </c>
      <c r="O4" s="51">
        <v>43919</v>
      </c>
      <c r="P4" s="51">
        <v>43926</v>
      </c>
      <c r="Q4" s="51">
        <v>43933</v>
      </c>
      <c r="R4" s="51">
        <v>43940</v>
      </c>
      <c r="S4" s="51">
        <v>43947</v>
      </c>
      <c r="T4" s="51">
        <v>43954</v>
      </c>
      <c r="U4" s="51">
        <v>43961</v>
      </c>
      <c r="V4" s="51">
        <v>43968</v>
      </c>
      <c r="W4" s="51">
        <v>43975</v>
      </c>
      <c r="X4" s="51">
        <v>43982</v>
      </c>
      <c r="Y4" s="51">
        <v>43989</v>
      </c>
      <c r="Z4" s="51">
        <v>43996</v>
      </c>
      <c r="AA4" s="51">
        <v>44003</v>
      </c>
      <c r="AB4" s="51">
        <v>44010</v>
      </c>
      <c r="AC4" s="51">
        <v>44017</v>
      </c>
      <c r="AD4" s="51">
        <v>44024</v>
      </c>
      <c r="AE4" s="51">
        <v>44031</v>
      </c>
      <c r="AF4" s="51">
        <v>44038</v>
      </c>
      <c r="AG4" s="51">
        <v>44045</v>
      </c>
      <c r="AH4" s="51">
        <v>44052</v>
      </c>
      <c r="AI4" s="51">
        <v>44059</v>
      </c>
      <c r="AJ4" s="51">
        <v>44066</v>
      </c>
      <c r="AK4" s="51">
        <v>44073</v>
      </c>
      <c r="AL4" s="51">
        <v>44080</v>
      </c>
      <c r="AM4" s="51">
        <v>44087</v>
      </c>
      <c r="AN4" s="51">
        <v>44094</v>
      </c>
      <c r="AO4" s="51">
        <v>44101</v>
      </c>
      <c r="AP4" s="51">
        <v>44108</v>
      </c>
      <c r="AQ4" s="51">
        <v>44115</v>
      </c>
      <c r="AR4" s="51">
        <v>44122</v>
      </c>
      <c r="AS4" s="51">
        <v>44129</v>
      </c>
      <c r="AT4" s="51">
        <v>44136</v>
      </c>
      <c r="AU4" s="51">
        <v>44143</v>
      </c>
      <c r="AV4" s="51">
        <v>44150</v>
      </c>
      <c r="AW4" s="51">
        <v>44157</v>
      </c>
      <c r="AX4" s="51">
        <v>44164</v>
      </c>
      <c r="AY4" s="51">
        <v>44171</v>
      </c>
      <c r="AZ4" s="51">
        <v>44178</v>
      </c>
      <c r="BA4" s="51">
        <v>44185</v>
      </c>
      <c r="BB4" s="51">
        <v>44192</v>
      </c>
    </row>
    <row r="5" spans="1:54" s="47" customFormat="1" x14ac:dyDescent="0.2">
      <c r="A5" s="73" t="s">
        <v>173</v>
      </c>
    </row>
    <row r="6" spans="1:54" s="47" customFormat="1" x14ac:dyDescent="0.2">
      <c r="A6" s="74" t="s">
        <v>155</v>
      </c>
      <c r="B6" s="75">
        <v>5844</v>
      </c>
      <c r="C6" s="75">
        <v>7017</v>
      </c>
      <c r="D6" s="75">
        <v>6148</v>
      </c>
      <c r="E6" s="75">
        <v>6831</v>
      </c>
      <c r="F6" s="75">
        <v>7339</v>
      </c>
      <c r="G6" s="75">
        <v>6795</v>
      </c>
      <c r="H6" s="75">
        <v>6479</v>
      </c>
      <c r="I6" s="75">
        <v>5970</v>
      </c>
      <c r="J6" s="75">
        <v>6510</v>
      </c>
      <c r="K6" s="75">
        <v>7058</v>
      </c>
      <c r="L6" s="75">
        <v>6959</v>
      </c>
      <c r="M6" s="75">
        <v>7406</v>
      </c>
      <c r="N6" s="75">
        <v>7400</v>
      </c>
      <c r="O6" s="75">
        <v>6930</v>
      </c>
      <c r="P6" s="75">
        <v>7125</v>
      </c>
      <c r="Q6" s="75">
        <v>6569</v>
      </c>
      <c r="R6" s="75">
        <v>6445</v>
      </c>
      <c r="S6" s="75">
        <v>6214</v>
      </c>
      <c r="T6" s="75">
        <v>6387</v>
      </c>
      <c r="U6" s="75">
        <v>6461</v>
      </c>
      <c r="V6" s="75">
        <v>6142</v>
      </c>
      <c r="W6" s="75">
        <v>6149</v>
      </c>
      <c r="X6" s="75">
        <v>6162</v>
      </c>
      <c r="Y6" s="75">
        <v>6071</v>
      </c>
      <c r="Z6" s="75">
        <v>6346</v>
      </c>
      <c r="AA6" s="75">
        <v>5949</v>
      </c>
      <c r="AB6" s="75">
        <v>6354</v>
      </c>
      <c r="AC6" s="75">
        <v>6301</v>
      </c>
      <c r="AD6" s="75">
        <v>6137</v>
      </c>
      <c r="AE6" s="75">
        <v>6052</v>
      </c>
      <c r="AF6" s="75">
        <v>6576</v>
      </c>
      <c r="AG6" s="75">
        <v>6388</v>
      </c>
      <c r="AH6" s="75">
        <v>6494</v>
      </c>
      <c r="AI6" s="75">
        <v>6258</v>
      </c>
      <c r="AJ6" s="75">
        <v>6847</v>
      </c>
      <c r="AK6" s="75">
        <v>6769</v>
      </c>
      <c r="AL6" s="75">
        <v>6444</v>
      </c>
      <c r="AM6" s="75">
        <v>6401</v>
      </c>
      <c r="AN6" s="75">
        <v>6429</v>
      </c>
      <c r="AO6" s="75">
        <v>6562</v>
      </c>
      <c r="AP6" s="75">
        <v>6731</v>
      </c>
      <c r="AQ6" s="75">
        <v>6468</v>
      </c>
      <c r="AR6" s="75">
        <v>6286</v>
      </c>
      <c r="AS6" s="75">
        <v>6538</v>
      </c>
      <c r="AT6" s="75">
        <v>6698</v>
      </c>
      <c r="AU6" s="75">
        <v>6553</v>
      </c>
      <c r="AV6" s="75">
        <v>6497</v>
      </c>
      <c r="AW6" s="75">
        <v>6814</v>
      </c>
      <c r="AX6" s="75">
        <v>6941</v>
      </c>
      <c r="AY6" s="75">
        <v>7165</v>
      </c>
      <c r="AZ6" s="75">
        <v>6491</v>
      </c>
      <c r="BA6" s="75">
        <v>5748</v>
      </c>
      <c r="BB6" s="75">
        <v>6187</v>
      </c>
    </row>
    <row r="7" spans="1:54" s="47" customFormat="1" x14ac:dyDescent="0.2">
      <c r="A7" s="76" t="s">
        <v>157</v>
      </c>
      <c r="B7" s="13">
        <v>14102</v>
      </c>
      <c r="C7" s="13">
        <v>14550</v>
      </c>
      <c r="D7" s="13">
        <v>12674</v>
      </c>
      <c r="E7" s="13">
        <v>14104</v>
      </c>
      <c r="F7" s="13">
        <v>15260</v>
      </c>
      <c r="G7" s="13">
        <v>14147</v>
      </c>
      <c r="H7" s="13">
        <v>11868</v>
      </c>
      <c r="I7" s="13">
        <v>12582</v>
      </c>
      <c r="J7" s="13">
        <v>12614</v>
      </c>
      <c r="K7" s="13">
        <v>13541</v>
      </c>
      <c r="L7" s="13">
        <v>13336</v>
      </c>
      <c r="M7" s="13">
        <v>13676</v>
      </c>
      <c r="N7" s="13">
        <v>12143</v>
      </c>
      <c r="O7" s="13">
        <v>11285</v>
      </c>
      <c r="P7" s="13">
        <v>10751</v>
      </c>
      <c r="Q7" s="13">
        <v>10217</v>
      </c>
      <c r="R7" s="13">
        <v>9558</v>
      </c>
      <c r="S7" s="13">
        <v>9803</v>
      </c>
      <c r="T7" s="13">
        <v>9865</v>
      </c>
      <c r="U7" s="13">
        <v>9976</v>
      </c>
      <c r="V7" s="13">
        <v>9907</v>
      </c>
      <c r="W7" s="13">
        <v>10374</v>
      </c>
      <c r="X7" s="13">
        <v>9384</v>
      </c>
      <c r="Y7" s="13">
        <v>10156</v>
      </c>
      <c r="Z7" s="13">
        <v>10013</v>
      </c>
      <c r="AA7" s="13">
        <v>9619</v>
      </c>
      <c r="AB7" s="13">
        <v>10139</v>
      </c>
      <c r="AC7" s="13">
        <v>9906</v>
      </c>
      <c r="AD7" s="13">
        <v>10446</v>
      </c>
      <c r="AE7" s="13">
        <v>10694</v>
      </c>
      <c r="AF7" s="13">
        <v>10480</v>
      </c>
      <c r="AG7" s="13">
        <v>10841</v>
      </c>
      <c r="AH7" s="13">
        <v>10516</v>
      </c>
      <c r="AI7" s="13">
        <v>10507</v>
      </c>
      <c r="AJ7" s="13">
        <v>9948</v>
      </c>
      <c r="AK7" s="13">
        <v>10909</v>
      </c>
      <c r="AL7" s="13">
        <v>9715</v>
      </c>
      <c r="AM7" s="13">
        <v>10806</v>
      </c>
      <c r="AN7" s="13">
        <v>10764</v>
      </c>
      <c r="AO7" s="13">
        <v>11439</v>
      </c>
      <c r="AP7" s="13">
        <v>10998</v>
      </c>
      <c r="AQ7" s="13">
        <v>11264</v>
      </c>
      <c r="AR7" s="13">
        <v>11292</v>
      </c>
      <c r="AS7" s="13">
        <v>10979</v>
      </c>
      <c r="AT7" s="13">
        <v>12008</v>
      </c>
      <c r="AU7" s="13">
        <v>12343</v>
      </c>
      <c r="AV7" s="13">
        <v>12357</v>
      </c>
      <c r="AW7" s="13">
        <v>12105</v>
      </c>
      <c r="AX7" s="13">
        <v>12602</v>
      </c>
      <c r="AY7" s="13">
        <v>12254</v>
      </c>
      <c r="AZ7" s="13">
        <v>11899</v>
      </c>
      <c r="BA7" s="13">
        <v>11123</v>
      </c>
      <c r="BB7" s="13">
        <v>11221</v>
      </c>
    </row>
    <row r="8" spans="1:54" s="47" customFormat="1" x14ac:dyDescent="0.2">
      <c r="A8" s="76" t="s">
        <v>159</v>
      </c>
      <c r="B8" s="13">
        <v>17838</v>
      </c>
      <c r="C8" s="13">
        <v>17928</v>
      </c>
      <c r="D8" s="13">
        <v>18816</v>
      </c>
      <c r="E8" s="13">
        <v>19107</v>
      </c>
      <c r="F8" s="13">
        <v>19398</v>
      </c>
      <c r="G8" s="13">
        <v>19184</v>
      </c>
      <c r="H8" s="13">
        <v>19015</v>
      </c>
      <c r="I8" s="13">
        <v>18692</v>
      </c>
      <c r="J8" s="13">
        <v>19291</v>
      </c>
      <c r="K8" s="13">
        <v>20615</v>
      </c>
      <c r="L8" s="13">
        <v>19933</v>
      </c>
      <c r="M8" s="13">
        <v>19288</v>
      </c>
      <c r="N8" s="13">
        <v>19825</v>
      </c>
      <c r="O8" s="13">
        <v>18385</v>
      </c>
      <c r="P8" s="13">
        <v>18502</v>
      </c>
      <c r="Q8" s="13">
        <v>18042</v>
      </c>
      <c r="R8" s="13">
        <v>17425</v>
      </c>
      <c r="S8" s="13">
        <v>16667</v>
      </c>
      <c r="T8" s="13">
        <v>14905</v>
      </c>
      <c r="U8" s="13">
        <v>14182</v>
      </c>
      <c r="V8" s="13">
        <v>15508</v>
      </c>
      <c r="W8" s="13">
        <v>15570</v>
      </c>
      <c r="X8" s="13">
        <v>15084</v>
      </c>
      <c r="Y8" s="13">
        <v>16632</v>
      </c>
      <c r="Z8" s="13">
        <v>16415</v>
      </c>
      <c r="AA8" s="13">
        <v>17151</v>
      </c>
      <c r="AB8" s="13">
        <v>17202</v>
      </c>
      <c r="AC8" s="13">
        <v>16161</v>
      </c>
      <c r="AD8" s="13">
        <v>17153</v>
      </c>
      <c r="AE8" s="13">
        <v>17354</v>
      </c>
      <c r="AF8" s="13">
        <v>16824</v>
      </c>
      <c r="AG8" s="13">
        <v>17618</v>
      </c>
      <c r="AH8" s="13">
        <v>17258</v>
      </c>
      <c r="AI8" s="13">
        <v>16933</v>
      </c>
      <c r="AJ8" s="13">
        <v>17101</v>
      </c>
      <c r="AK8" s="13">
        <v>19830</v>
      </c>
      <c r="AL8" s="13">
        <v>20141</v>
      </c>
      <c r="AM8" s="13">
        <v>21385</v>
      </c>
      <c r="AN8" s="13">
        <v>19350</v>
      </c>
      <c r="AO8" s="13">
        <v>19186</v>
      </c>
      <c r="AP8" s="13">
        <v>18957</v>
      </c>
      <c r="AQ8" s="13">
        <v>19320</v>
      </c>
      <c r="AR8" s="13">
        <v>19155</v>
      </c>
      <c r="AS8" s="13">
        <v>13763</v>
      </c>
      <c r="AT8" s="13">
        <v>16120</v>
      </c>
      <c r="AU8" s="13">
        <v>18573</v>
      </c>
      <c r="AV8" s="13">
        <v>19159</v>
      </c>
      <c r="AW8" s="13">
        <v>17759</v>
      </c>
      <c r="AX8" s="13">
        <v>18667</v>
      </c>
      <c r="AY8" s="13">
        <v>19758</v>
      </c>
      <c r="AZ8" s="13">
        <v>18989</v>
      </c>
      <c r="BA8" s="13">
        <v>15113</v>
      </c>
      <c r="BB8" s="13">
        <v>16946</v>
      </c>
    </row>
    <row r="9" spans="1:54" s="47" customFormat="1" x14ac:dyDescent="0.2">
      <c r="A9" s="76" t="s">
        <v>161</v>
      </c>
      <c r="B9" s="13">
        <v>2380</v>
      </c>
      <c r="C9" s="13">
        <v>3693</v>
      </c>
      <c r="D9" s="13">
        <v>4593</v>
      </c>
      <c r="E9" s="13">
        <v>4454</v>
      </c>
      <c r="F9" s="13">
        <v>5186</v>
      </c>
      <c r="G9" s="13">
        <v>5108</v>
      </c>
      <c r="H9" s="13">
        <v>5227</v>
      </c>
      <c r="I9" s="13">
        <v>4549</v>
      </c>
      <c r="J9" s="13">
        <v>4150</v>
      </c>
      <c r="K9" s="13">
        <v>5407</v>
      </c>
      <c r="L9" s="13">
        <v>5764</v>
      </c>
      <c r="M9" s="13">
        <v>5628</v>
      </c>
      <c r="N9" s="13">
        <v>2251</v>
      </c>
      <c r="O9" s="13">
        <v>995</v>
      </c>
      <c r="P9" s="13">
        <v>615</v>
      </c>
      <c r="Q9" s="13">
        <v>409</v>
      </c>
      <c r="R9" s="13">
        <v>426</v>
      </c>
      <c r="S9" s="13">
        <v>569</v>
      </c>
      <c r="T9" s="13">
        <v>449</v>
      </c>
      <c r="U9" s="13">
        <v>436</v>
      </c>
      <c r="V9" s="13">
        <v>961</v>
      </c>
      <c r="W9" s="13">
        <v>1581</v>
      </c>
      <c r="X9" s="13">
        <v>2546</v>
      </c>
      <c r="Y9" s="13">
        <v>3271</v>
      </c>
      <c r="Z9" s="13">
        <v>3765</v>
      </c>
      <c r="AA9" s="13">
        <v>3650</v>
      </c>
      <c r="AB9" s="13">
        <v>3870</v>
      </c>
      <c r="AC9" s="13">
        <v>4078</v>
      </c>
      <c r="AD9" s="13">
        <v>4521</v>
      </c>
      <c r="AE9" s="13">
        <v>4839</v>
      </c>
      <c r="AF9" s="13">
        <v>4374</v>
      </c>
      <c r="AG9" s="13">
        <v>4596</v>
      </c>
      <c r="AH9" s="13">
        <v>4836</v>
      </c>
      <c r="AI9" s="13">
        <v>4620</v>
      </c>
      <c r="AJ9" s="13">
        <v>4525</v>
      </c>
      <c r="AK9" s="13">
        <v>4509</v>
      </c>
      <c r="AL9" s="13">
        <v>4175</v>
      </c>
      <c r="AM9" s="13">
        <v>4433</v>
      </c>
      <c r="AN9" s="13">
        <v>4051</v>
      </c>
      <c r="AO9" s="13">
        <v>3930</v>
      </c>
      <c r="AP9" s="13">
        <v>3701</v>
      </c>
      <c r="AQ9" s="13">
        <v>3633</v>
      </c>
      <c r="AR9" s="13">
        <v>3882</v>
      </c>
      <c r="AS9" s="13">
        <v>3673</v>
      </c>
      <c r="AT9" s="13">
        <v>3506</v>
      </c>
      <c r="AU9" s="13">
        <v>3509</v>
      </c>
      <c r="AV9" s="13">
        <v>4113</v>
      </c>
      <c r="AW9" s="13">
        <v>3410</v>
      </c>
      <c r="AX9" s="13">
        <v>3924</v>
      </c>
      <c r="AY9" s="13">
        <v>4646</v>
      </c>
      <c r="AZ9" s="13">
        <v>4676</v>
      </c>
      <c r="BA9" s="13">
        <v>3487</v>
      </c>
      <c r="BB9" s="13">
        <v>2757</v>
      </c>
    </row>
    <row r="10" spans="1:54" s="47" customFormat="1" x14ac:dyDescent="0.2">
      <c r="A10" s="76" t="s">
        <v>163</v>
      </c>
      <c r="B10" s="13">
        <v>6577</v>
      </c>
      <c r="C10" s="13">
        <v>6156</v>
      </c>
      <c r="D10" s="13">
        <v>5372</v>
      </c>
      <c r="E10" s="13">
        <v>5774</v>
      </c>
      <c r="F10" s="13">
        <v>6858</v>
      </c>
      <c r="G10" s="13">
        <v>5331</v>
      </c>
      <c r="H10" s="13">
        <v>5144</v>
      </c>
      <c r="I10" s="13">
        <v>5473</v>
      </c>
      <c r="J10" s="13">
        <v>5734</v>
      </c>
      <c r="K10" s="13">
        <v>6432</v>
      </c>
      <c r="L10" s="13">
        <v>5518</v>
      </c>
      <c r="M10" s="13">
        <v>6217</v>
      </c>
      <c r="N10" s="13">
        <v>5949</v>
      </c>
      <c r="O10" s="13">
        <v>5805</v>
      </c>
      <c r="P10" s="13">
        <v>6076</v>
      </c>
      <c r="Q10" s="13">
        <v>7025</v>
      </c>
      <c r="R10" s="13">
        <v>6137</v>
      </c>
      <c r="S10" s="13">
        <v>4998</v>
      </c>
      <c r="T10" s="13">
        <v>5491</v>
      </c>
      <c r="U10" s="13">
        <v>5511</v>
      </c>
      <c r="V10" s="13">
        <v>4704</v>
      </c>
      <c r="W10" s="13">
        <v>5112</v>
      </c>
      <c r="X10" s="13">
        <v>6115</v>
      </c>
      <c r="Y10" s="13">
        <v>5374</v>
      </c>
      <c r="Z10" s="13">
        <v>4683</v>
      </c>
      <c r="AA10" s="13">
        <v>5178</v>
      </c>
      <c r="AB10" s="13">
        <v>4616</v>
      </c>
      <c r="AC10" s="13">
        <v>3654</v>
      </c>
      <c r="AD10" s="13">
        <v>5829</v>
      </c>
      <c r="AE10" s="13">
        <v>5016</v>
      </c>
      <c r="AF10" s="13">
        <v>4317</v>
      </c>
      <c r="AG10" s="13">
        <v>4841</v>
      </c>
      <c r="AH10" s="13">
        <v>5925</v>
      </c>
      <c r="AI10" s="13">
        <v>5187</v>
      </c>
      <c r="AJ10" s="13">
        <v>4090</v>
      </c>
      <c r="AK10" s="13">
        <v>5225</v>
      </c>
      <c r="AL10" s="13">
        <v>5155</v>
      </c>
      <c r="AM10" s="13">
        <v>5414</v>
      </c>
      <c r="AN10" s="13">
        <v>5706</v>
      </c>
      <c r="AO10" s="13">
        <v>6091</v>
      </c>
      <c r="AP10" s="13">
        <v>4492</v>
      </c>
      <c r="AQ10" s="13">
        <v>6289</v>
      </c>
      <c r="AR10" s="13">
        <v>5432</v>
      </c>
      <c r="AS10" s="13">
        <v>5341</v>
      </c>
      <c r="AT10" s="13">
        <v>5482</v>
      </c>
      <c r="AU10" s="13">
        <v>5793</v>
      </c>
      <c r="AV10" s="13">
        <v>6022</v>
      </c>
      <c r="AW10" s="13">
        <v>5868</v>
      </c>
      <c r="AX10" s="13">
        <v>5997</v>
      </c>
      <c r="AY10" s="13">
        <v>6237</v>
      </c>
      <c r="AZ10" s="13">
        <v>5983</v>
      </c>
      <c r="BA10" s="13">
        <v>4569</v>
      </c>
      <c r="BB10" s="13">
        <v>5377</v>
      </c>
    </row>
    <row r="11" spans="1:54" s="47" customFormat="1" x14ac:dyDescent="0.2">
      <c r="A11" s="77" t="s">
        <v>165</v>
      </c>
      <c r="B11" s="75">
        <v>12140</v>
      </c>
      <c r="C11" s="75">
        <v>11336</v>
      </c>
      <c r="D11" s="75">
        <v>9711</v>
      </c>
      <c r="E11" s="75">
        <v>11896</v>
      </c>
      <c r="F11" s="75">
        <v>11021</v>
      </c>
      <c r="G11" s="75">
        <v>10761</v>
      </c>
      <c r="H11" s="75">
        <v>9025</v>
      </c>
      <c r="I11" s="75">
        <v>10496</v>
      </c>
      <c r="J11" s="75">
        <v>11361</v>
      </c>
      <c r="K11" s="75">
        <v>11743</v>
      </c>
      <c r="L11" s="75">
        <v>13232</v>
      </c>
      <c r="M11" s="75">
        <v>13352</v>
      </c>
      <c r="N11" s="75">
        <v>13079</v>
      </c>
      <c r="O11" s="75">
        <v>13844</v>
      </c>
      <c r="P11" s="75">
        <v>13677</v>
      </c>
      <c r="Q11" s="75">
        <v>13084</v>
      </c>
      <c r="R11" s="75">
        <v>12871</v>
      </c>
      <c r="S11" s="75">
        <v>12591</v>
      </c>
      <c r="T11" s="75">
        <v>13380</v>
      </c>
      <c r="U11" s="75">
        <v>11772</v>
      </c>
      <c r="V11" s="75">
        <v>12103</v>
      </c>
      <c r="W11" s="75">
        <v>11683</v>
      </c>
      <c r="X11" s="75">
        <v>12079</v>
      </c>
      <c r="Y11" s="75">
        <v>11830</v>
      </c>
      <c r="Z11" s="75">
        <v>12929</v>
      </c>
      <c r="AA11" s="75">
        <v>10859</v>
      </c>
      <c r="AB11" s="75">
        <v>10565</v>
      </c>
      <c r="AC11" s="75">
        <v>12250</v>
      </c>
      <c r="AD11" s="75">
        <v>11412</v>
      </c>
      <c r="AE11" s="75">
        <v>11957</v>
      </c>
      <c r="AF11" s="75">
        <v>11610</v>
      </c>
      <c r="AG11" s="75">
        <v>12113</v>
      </c>
      <c r="AH11" s="75">
        <v>11958</v>
      </c>
      <c r="AI11" s="75">
        <v>11171</v>
      </c>
      <c r="AJ11" s="75">
        <v>11772</v>
      </c>
      <c r="AK11" s="75">
        <v>13156</v>
      </c>
      <c r="AL11" s="75">
        <v>13800</v>
      </c>
      <c r="AM11" s="75">
        <v>13976</v>
      </c>
      <c r="AN11" s="75">
        <v>13991</v>
      </c>
      <c r="AO11" s="75">
        <v>14520</v>
      </c>
      <c r="AP11" s="75">
        <v>14812</v>
      </c>
      <c r="AQ11" s="75">
        <v>14887</v>
      </c>
      <c r="AR11" s="75">
        <v>14898</v>
      </c>
      <c r="AS11" s="75">
        <v>15206</v>
      </c>
      <c r="AT11" s="75">
        <v>15015</v>
      </c>
      <c r="AU11" s="75">
        <v>14411</v>
      </c>
      <c r="AV11" s="75">
        <v>13053</v>
      </c>
      <c r="AW11" s="75">
        <v>14773</v>
      </c>
      <c r="AX11" s="75">
        <v>15419</v>
      </c>
      <c r="AY11" s="75">
        <v>14666</v>
      </c>
      <c r="AZ11" s="75">
        <v>13353</v>
      </c>
      <c r="BA11" s="75">
        <v>11102</v>
      </c>
      <c r="BB11" s="75">
        <v>13026</v>
      </c>
    </row>
    <row r="12" spans="1:54" s="47" customFormat="1" x14ac:dyDescent="0.2">
      <c r="A12" s="76" t="s">
        <v>167</v>
      </c>
      <c r="B12" s="13">
        <v>41732</v>
      </c>
      <c r="C12" s="13">
        <v>50990</v>
      </c>
      <c r="D12" s="13">
        <v>43617</v>
      </c>
      <c r="E12" s="13">
        <v>48277</v>
      </c>
      <c r="F12" s="13">
        <v>51359</v>
      </c>
      <c r="G12" s="13">
        <v>44277</v>
      </c>
      <c r="H12" s="13">
        <v>34053</v>
      </c>
      <c r="I12" s="13">
        <v>34762</v>
      </c>
      <c r="J12" s="13">
        <v>35870</v>
      </c>
      <c r="K12" s="13">
        <v>40331</v>
      </c>
      <c r="L12" s="13">
        <v>40704</v>
      </c>
      <c r="M12" s="13">
        <v>41589</v>
      </c>
      <c r="N12" s="13">
        <v>41736</v>
      </c>
      <c r="O12" s="13">
        <v>45699</v>
      </c>
      <c r="P12" s="13">
        <v>46283</v>
      </c>
      <c r="Q12" s="13">
        <v>45968</v>
      </c>
      <c r="R12" s="13">
        <v>49137</v>
      </c>
      <c r="S12" s="13">
        <v>49592</v>
      </c>
      <c r="T12" s="13">
        <v>48514</v>
      </c>
      <c r="U12" s="13">
        <v>47037</v>
      </c>
      <c r="V12" s="13">
        <v>42373</v>
      </c>
      <c r="W12" s="13">
        <v>45729</v>
      </c>
      <c r="X12" s="13">
        <v>45553</v>
      </c>
      <c r="Y12" s="13">
        <v>46735</v>
      </c>
      <c r="Z12" s="13">
        <v>47878</v>
      </c>
      <c r="AA12" s="13">
        <v>47177</v>
      </c>
      <c r="AB12" s="13">
        <v>44782</v>
      </c>
      <c r="AC12" s="13">
        <v>48229</v>
      </c>
      <c r="AD12" s="13">
        <v>50690</v>
      </c>
      <c r="AE12" s="13">
        <v>52664</v>
      </c>
      <c r="AF12" s="13">
        <v>50400</v>
      </c>
      <c r="AG12" s="13">
        <v>51994</v>
      </c>
      <c r="AH12" s="13">
        <v>52640</v>
      </c>
      <c r="AI12" s="13">
        <v>52030</v>
      </c>
      <c r="AJ12" s="13">
        <v>54581</v>
      </c>
      <c r="AK12" s="13">
        <v>55282</v>
      </c>
      <c r="AL12" s="13">
        <v>55072</v>
      </c>
      <c r="AM12" s="13">
        <v>55682</v>
      </c>
      <c r="AN12" s="13">
        <v>56191</v>
      </c>
      <c r="AO12" s="13">
        <v>58109</v>
      </c>
      <c r="AP12" s="13">
        <v>58310</v>
      </c>
      <c r="AQ12" s="13">
        <v>58503</v>
      </c>
      <c r="AR12" s="13">
        <v>59433</v>
      </c>
      <c r="AS12" s="13">
        <v>60275</v>
      </c>
      <c r="AT12" s="13">
        <v>56879</v>
      </c>
      <c r="AU12" s="13">
        <v>57115</v>
      </c>
      <c r="AV12" s="13">
        <v>58323</v>
      </c>
      <c r="AW12" s="13">
        <v>54840</v>
      </c>
      <c r="AX12" s="13">
        <v>55019</v>
      </c>
      <c r="AY12" s="13">
        <v>54684</v>
      </c>
      <c r="AZ12" s="13">
        <v>53809</v>
      </c>
      <c r="BA12" s="13">
        <v>41958</v>
      </c>
      <c r="BB12" s="13">
        <v>44207</v>
      </c>
    </row>
    <row r="13" spans="1:54" s="47" customFormat="1" ht="13.5" thickBot="1" x14ac:dyDescent="0.25">
      <c r="A13" s="78" t="s">
        <v>174</v>
      </c>
      <c r="B13" s="23">
        <v>100613</v>
      </c>
      <c r="C13" s="23">
        <v>111670</v>
      </c>
      <c r="D13" s="23">
        <v>100931</v>
      </c>
      <c r="E13" s="23">
        <v>110443</v>
      </c>
      <c r="F13" s="23">
        <v>116421</v>
      </c>
      <c r="G13" s="23">
        <v>105603</v>
      </c>
      <c r="H13" s="23">
        <v>90811</v>
      </c>
      <c r="I13" s="23">
        <v>92524</v>
      </c>
      <c r="J13" s="23">
        <v>95530</v>
      </c>
      <c r="K13" s="23">
        <v>105127</v>
      </c>
      <c r="L13" s="23">
        <v>105446</v>
      </c>
      <c r="M13" s="23">
        <v>107156</v>
      </c>
      <c r="N13" s="23">
        <v>102383</v>
      </c>
      <c r="O13" s="23">
        <v>102943</v>
      </c>
      <c r="P13" s="23">
        <v>103029</v>
      </c>
      <c r="Q13" s="23">
        <v>101314</v>
      </c>
      <c r="R13" s="23">
        <v>101999</v>
      </c>
      <c r="S13" s="23">
        <v>100434</v>
      </c>
      <c r="T13" s="23">
        <v>98991</v>
      </c>
      <c r="U13" s="23">
        <v>95375</v>
      </c>
      <c r="V13" s="23">
        <v>91698</v>
      </c>
      <c r="W13" s="23">
        <v>96198</v>
      </c>
      <c r="X13" s="23">
        <v>96923</v>
      </c>
      <c r="Y13" s="23">
        <v>100069</v>
      </c>
      <c r="Z13" s="23">
        <v>102029</v>
      </c>
      <c r="AA13" s="23">
        <v>99583</v>
      </c>
      <c r="AB13" s="23">
        <v>97528</v>
      </c>
      <c r="AC13" s="23">
        <v>100579</v>
      </c>
      <c r="AD13" s="23">
        <v>106188</v>
      </c>
      <c r="AE13" s="23">
        <v>108576</v>
      </c>
      <c r="AF13" s="23">
        <v>104581</v>
      </c>
      <c r="AG13" s="23">
        <v>108391</v>
      </c>
      <c r="AH13" s="23">
        <v>109627</v>
      </c>
      <c r="AI13" s="23">
        <v>106706</v>
      </c>
      <c r="AJ13" s="23">
        <v>108864</v>
      </c>
      <c r="AK13" s="23">
        <v>115680</v>
      </c>
      <c r="AL13" s="23">
        <v>114502</v>
      </c>
      <c r="AM13" s="23">
        <v>118097</v>
      </c>
      <c r="AN13" s="23">
        <v>116482</v>
      </c>
      <c r="AO13" s="23">
        <v>119837</v>
      </c>
      <c r="AP13" s="23">
        <v>118001</v>
      </c>
      <c r="AQ13" s="23">
        <v>120364</v>
      </c>
      <c r="AR13" s="23">
        <v>120378</v>
      </c>
      <c r="AS13" s="23">
        <v>115775</v>
      </c>
      <c r="AT13" s="23">
        <v>115708</v>
      </c>
      <c r="AU13" s="23">
        <v>118297</v>
      </c>
      <c r="AV13" s="23">
        <v>119524</v>
      </c>
      <c r="AW13" s="23">
        <v>115569</v>
      </c>
      <c r="AX13" s="23">
        <v>118569</v>
      </c>
      <c r="AY13" s="23">
        <v>119410</v>
      </c>
      <c r="AZ13" s="23">
        <v>115200</v>
      </c>
      <c r="BA13" s="23">
        <v>93100</v>
      </c>
      <c r="BB13" s="23">
        <v>99721</v>
      </c>
    </row>
    <row r="14" spans="1:54" s="47" customFormat="1" ht="13.5" thickTop="1" x14ac:dyDescent="0.2">
      <c r="A14" s="76"/>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3"/>
      <c r="AM14" s="13"/>
      <c r="AN14" s="13"/>
      <c r="AO14" s="13"/>
      <c r="AP14" s="13"/>
      <c r="AQ14" s="13"/>
      <c r="AR14" s="13"/>
      <c r="AS14" s="13"/>
      <c r="AT14" s="13"/>
      <c r="AU14" s="13"/>
      <c r="AV14" s="13"/>
      <c r="AW14" s="13"/>
      <c r="AX14" s="13"/>
      <c r="AY14" s="13"/>
      <c r="AZ14" s="13"/>
      <c r="BA14" s="13"/>
      <c r="BB14" s="13"/>
    </row>
    <row r="15" spans="1:54" s="47" customFormat="1" x14ac:dyDescent="0.2">
      <c r="A15" s="73" t="s">
        <v>175</v>
      </c>
    </row>
    <row r="16" spans="1:54" s="47" customFormat="1" x14ac:dyDescent="0.2">
      <c r="A16" s="74" t="s">
        <v>155</v>
      </c>
      <c r="B16" s="75">
        <v>402.40390000000002</v>
      </c>
      <c r="C16" s="75">
        <v>518.34592999999995</v>
      </c>
      <c r="D16" s="75">
        <v>409.98284999999998</v>
      </c>
      <c r="E16" s="75">
        <v>494.70791500000001</v>
      </c>
      <c r="F16" s="75">
        <v>540.545525</v>
      </c>
      <c r="G16" s="75">
        <v>462.107575</v>
      </c>
      <c r="H16" s="75">
        <v>457.58558199999999</v>
      </c>
      <c r="I16" s="75">
        <v>411.126193</v>
      </c>
      <c r="J16" s="75">
        <v>437.23719399999999</v>
      </c>
      <c r="K16" s="75">
        <v>542.66233299999999</v>
      </c>
      <c r="L16" s="75">
        <v>516.09235699999999</v>
      </c>
      <c r="M16" s="75">
        <v>542.91884400000004</v>
      </c>
      <c r="N16" s="75">
        <v>555.18025799999998</v>
      </c>
      <c r="O16" s="75">
        <v>511.06557299999997</v>
      </c>
      <c r="P16" s="75">
        <v>515.13536199999999</v>
      </c>
      <c r="Q16" s="75">
        <v>491.45739500000002</v>
      </c>
      <c r="R16" s="75">
        <v>456.63755700000002</v>
      </c>
      <c r="S16" s="75">
        <v>437.87083200000001</v>
      </c>
      <c r="T16" s="75">
        <v>448.79817500000001</v>
      </c>
      <c r="U16" s="75">
        <v>466.05871100000002</v>
      </c>
      <c r="V16" s="75">
        <v>426.87650300000001</v>
      </c>
      <c r="W16" s="75">
        <v>451.58351399999998</v>
      </c>
      <c r="X16" s="75">
        <v>450.951728</v>
      </c>
      <c r="Y16" s="75">
        <v>450.67685499999999</v>
      </c>
      <c r="Z16" s="75">
        <v>466.00076999999999</v>
      </c>
      <c r="AA16" s="75">
        <v>440.01458700000001</v>
      </c>
      <c r="AB16" s="75">
        <v>471.75916000000001</v>
      </c>
      <c r="AC16" s="75">
        <v>441.59380199999998</v>
      </c>
      <c r="AD16" s="75">
        <v>451.409605</v>
      </c>
      <c r="AE16" s="75">
        <v>460.18095199999999</v>
      </c>
      <c r="AF16" s="75">
        <v>537.41723999999999</v>
      </c>
      <c r="AG16" s="75">
        <v>492.60049900000001</v>
      </c>
      <c r="AH16" s="75">
        <v>513.22709299999997</v>
      </c>
      <c r="AI16" s="75">
        <v>499.791875</v>
      </c>
      <c r="AJ16" s="75">
        <v>546.65656200000001</v>
      </c>
      <c r="AK16" s="75">
        <v>510.79616800000002</v>
      </c>
      <c r="AL16" s="75">
        <v>512.54708500000004</v>
      </c>
      <c r="AM16" s="75">
        <v>507.74990400000002</v>
      </c>
      <c r="AN16" s="75">
        <v>513.45871699999998</v>
      </c>
      <c r="AO16" s="75">
        <v>528.44446100000005</v>
      </c>
      <c r="AP16" s="75">
        <v>522.10247100000004</v>
      </c>
      <c r="AQ16" s="75">
        <v>489.95952399999999</v>
      </c>
      <c r="AR16" s="75">
        <v>480.42351200000002</v>
      </c>
      <c r="AS16" s="75">
        <v>499.401409</v>
      </c>
      <c r="AT16" s="75">
        <v>522.59094400000004</v>
      </c>
      <c r="AU16" s="75">
        <v>500.447136</v>
      </c>
      <c r="AV16" s="75">
        <v>520.51653599999997</v>
      </c>
      <c r="AW16" s="75">
        <v>534.35911499999997</v>
      </c>
      <c r="AX16" s="75">
        <v>515.72036900000001</v>
      </c>
      <c r="AY16" s="75">
        <v>551.87234699999999</v>
      </c>
      <c r="AZ16" s="75">
        <v>506.60098599999998</v>
      </c>
      <c r="BA16" s="75">
        <v>455.46317399999998</v>
      </c>
      <c r="BB16" s="75">
        <v>469.697947</v>
      </c>
    </row>
    <row r="17" spans="1:54" s="47" customFormat="1" x14ac:dyDescent="0.2">
      <c r="A17" s="76" t="s">
        <v>157</v>
      </c>
      <c r="B17" s="75">
        <v>1137.512119</v>
      </c>
      <c r="C17" s="13">
        <v>1156.5865100000001</v>
      </c>
      <c r="D17" s="13">
        <v>946.67549899999995</v>
      </c>
      <c r="E17" s="13">
        <v>1122.277787</v>
      </c>
      <c r="F17" s="13">
        <v>1250.92256</v>
      </c>
      <c r="G17" s="13">
        <v>1160.762303</v>
      </c>
      <c r="H17" s="13">
        <v>908.21360100000004</v>
      </c>
      <c r="I17" s="13">
        <v>957.77408300000002</v>
      </c>
      <c r="J17" s="13">
        <v>1010.664734</v>
      </c>
      <c r="K17" s="13">
        <v>1126.422943</v>
      </c>
      <c r="L17" s="13">
        <v>1078.9477549999999</v>
      </c>
      <c r="M17" s="13">
        <v>1095.9415289999999</v>
      </c>
      <c r="N17" s="13">
        <v>917.28560600000003</v>
      </c>
      <c r="O17" s="13">
        <v>795.30371500000001</v>
      </c>
      <c r="P17" s="13">
        <v>760.70103500000005</v>
      </c>
      <c r="Q17" s="13">
        <v>687.35897499999999</v>
      </c>
      <c r="R17" s="13">
        <v>666.27686800000004</v>
      </c>
      <c r="S17" s="13">
        <v>632.01647800000001</v>
      </c>
      <c r="T17" s="13">
        <v>660.84720000000004</v>
      </c>
      <c r="U17" s="13">
        <v>646.76275899999996</v>
      </c>
      <c r="V17" s="13">
        <v>648.57580600000006</v>
      </c>
      <c r="W17" s="13">
        <v>715.51376900000002</v>
      </c>
      <c r="X17" s="13">
        <v>581.37393399999996</v>
      </c>
      <c r="Y17" s="13">
        <v>695.66524300000003</v>
      </c>
      <c r="Z17" s="13">
        <v>693.776116</v>
      </c>
      <c r="AA17" s="13">
        <v>633.44513800000004</v>
      </c>
      <c r="AB17" s="13">
        <v>700.40093999999999</v>
      </c>
      <c r="AC17" s="13">
        <v>636.100415</v>
      </c>
      <c r="AD17" s="13">
        <v>690.76705800000002</v>
      </c>
      <c r="AE17" s="13">
        <v>720.59632299999998</v>
      </c>
      <c r="AF17" s="13">
        <v>727.35201600000005</v>
      </c>
      <c r="AG17" s="13">
        <v>696.910887</v>
      </c>
      <c r="AH17" s="13">
        <v>722.67593599999998</v>
      </c>
      <c r="AI17" s="13">
        <v>695.97005000000001</v>
      </c>
      <c r="AJ17" s="13">
        <v>683.437545</v>
      </c>
      <c r="AK17" s="13">
        <v>776.02365299999997</v>
      </c>
      <c r="AL17" s="13">
        <v>681.32270400000004</v>
      </c>
      <c r="AM17" s="13">
        <v>750.70019600000001</v>
      </c>
      <c r="AN17" s="13">
        <v>782.96810300000004</v>
      </c>
      <c r="AO17" s="13">
        <v>842.44651099999999</v>
      </c>
      <c r="AP17" s="13">
        <v>826.03475600000002</v>
      </c>
      <c r="AQ17" s="13">
        <v>802.96980399999995</v>
      </c>
      <c r="AR17" s="13">
        <v>819.70485900000006</v>
      </c>
      <c r="AS17" s="13">
        <v>822.33505600000001</v>
      </c>
      <c r="AT17" s="13">
        <v>937.49643100000003</v>
      </c>
      <c r="AU17" s="13">
        <v>967.01921900000002</v>
      </c>
      <c r="AV17" s="13">
        <v>948.30776700000001</v>
      </c>
      <c r="AW17" s="13">
        <v>909.60001</v>
      </c>
      <c r="AX17" s="13">
        <v>971.18663000000004</v>
      </c>
      <c r="AY17" s="13">
        <v>901.57763499999999</v>
      </c>
      <c r="AZ17" s="13">
        <v>887.91702799999996</v>
      </c>
      <c r="BA17" s="13">
        <v>858.278592</v>
      </c>
      <c r="BB17" s="13">
        <v>800.96283800000003</v>
      </c>
    </row>
    <row r="18" spans="1:54" s="47" customFormat="1" x14ac:dyDescent="0.2">
      <c r="A18" s="76" t="s">
        <v>159</v>
      </c>
      <c r="B18" s="75">
        <v>485.55473599999999</v>
      </c>
      <c r="C18" s="13">
        <v>497.09711299999998</v>
      </c>
      <c r="D18" s="13">
        <v>447.06049300000001</v>
      </c>
      <c r="E18" s="13">
        <v>516.40645199999994</v>
      </c>
      <c r="F18" s="13">
        <v>556.88287500000001</v>
      </c>
      <c r="G18" s="13">
        <v>486.95576499999999</v>
      </c>
      <c r="H18" s="13">
        <v>453.06712399999998</v>
      </c>
      <c r="I18" s="13">
        <v>505.95972899999998</v>
      </c>
      <c r="J18" s="13">
        <v>499.04725200000001</v>
      </c>
      <c r="K18" s="13">
        <v>599.24832300000003</v>
      </c>
      <c r="L18" s="13">
        <v>538.27950999999996</v>
      </c>
      <c r="M18" s="13">
        <v>514.26725499999998</v>
      </c>
      <c r="N18" s="13">
        <v>439.09466300000003</v>
      </c>
      <c r="O18" s="13">
        <v>416.40267799999998</v>
      </c>
      <c r="P18" s="13">
        <v>405.60074100000003</v>
      </c>
      <c r="Q18" s="13">
        <v>294.38195000000002</v>
      </c>
      <c r="R18" s="13">
        <v>306.83621599999998</v>
      </c>
      <c r="S18" s="13">
        <v>311.34856600000001</v>
      </c>
      <c r="T18" s="13">
        <v>229.786429</v>
      </c>
      <c r="U18" s="13">
        <v>235.24052</v>
      </c>
      <c r="V18" s="13">
        <v>226.45427799999999</v>
      </c>
      <c r="W18" s="13">
        <v>232.29189700000001</v>
      </c>
      <c r="X18" s="13">
        <v>295.10825899999998</v>
      </c>
      <c r="Y18" s="13">
        <v>309.43913300000003</v>
      </c>
      <c r="Z18" s="13">
        <v>279.60889700000001</v>
      </c>
      <c r="AA18" s="13">
        <v>301.950377</v>
      </c>
      <c r="AB18" s="13">
        <v>354.17749400000002</v>
      </c>
      <c r="AC18" s="13">
        <v>331.23527100000001</v>
      </c>
      <c r="AD18" s="13">
        <v>364.14775500000002</v>
      </c>
      <c r="AE18" s="13">
        <v>352.66123099999999</v>
      </c>
      <c r="AF18" s="13">
        <v>391.63662599999998</v>
      </c>
      <c r="AG18" s="13">
        <v>387.93795</v>
      </c>
      <c r="AH18" s="13">
        <v>450.28881899999999</v>
      </c>
      <c r="AI18" s="13">
        <v>416.11275699999999</v>
      </c>
      <c r="AJ18" s="13">
        <v>431.12584900000002</v>
      </c>
      <c r="AK18" s="13">
        <v>453.91242899999997</v>
      </c>
      <c r="AL18" s="13">
        <v>475.81010900000001</v>
      </c>
      <c r="AM18" s="13">
        <v>499.48652499999997</v>
      </c>
      <c r="AN18" s="13">
        <v>448.73691400000001</v>
      </c>
      <c r="AO18" s="13">
        <v>487.72213799999997</v>
      </c>
      <c r="AP18" s="13">
        <v>430.10499199999998</v>
      </c>
      <c r="AQ18" s="13">
        <v>441.98366600000003</v>
      </c>
      <c r="AR18" s="13">
        <v>347.32135499999998</v>
      </c>
      <c r="AS18" s="13">
        <v>413.96121900000003</v>
      </c>
      <c r="AT18" s="13">
        <v>409.31290000000001</v>
      </c>
      <c r="AU18" s="13">
        <v>386.31165600000003</v>
      </c>
      <c r="AV18" s="13">
        <v>464.73266999999998</v>
      </c>
      <c r="AW18" s="13">
        <v>372.626847</v>
      </c>
      <c r="AX18" s="13">
        <v>418.97309100000001</v>
      </c>
      <c r="AY18" s="13">
        <v>435.593414</v>
      </c>
      <c r="AZ18" s="13">
        <v>514.22315400000002</v>
      </c>
      <c r="BA18" s="13">
        <v>471.008509</v>
      </c>
      <c r="BB18" s="13">
        <v>463.52606100000003</v>
      </c>
    </row>
    <row r="19" spans="1:54" s="47" customFormat="1" x14ac:dyDescent="0.2">
      <c r="A19" s="76" t="s">
        <v>161</v>
      </c>
      <c r="B19" s="75">
        <v>42.316741999999998</v>
      </c>
      <c r="C19" s="13">
        <v>56.853740000000002</v>
      </c>
      <c r="D19" s="13">
        <v>68.972862000000006</v>
      </c>
      <c r="E19" s="13">
        <v>60.460501999999998</v>
      </c>
      <c r="F19" s="13">
        <v>67.611892999999995</v>
      </c>
      <c r="G19" s="13">
        <v>66.405467999999999</v>
      </c>
      <c r="H19" s="13">
        <v>73.850127000000001</v>
      </c>
      <c r="I19" s="13">
        <v>60.879137</v>
      </c>
      <c r="J19" s="13">
        <v>57.935687000000001</v>
      </c>
      <c r="K19" s="13">
        <v>78.919546999999994</v>
      </c>
      <c r="L19" s="13">
        <v>85.152716999999996</v>
      </c>
      <c r="M19" s="13">
        <v>88.869641000000001</v>
      </c>
      <c r="N19" s="13">
        <v>45.178874</v>
      </c>
      <c r="O19" s="13">
        <v>21.642789</v>
      </c>
      <c r="P19" s="13">
        <v>16.597180000000002</v>
      </c>
      <c r="Q19" s="13">
        <v>11.419064000000001</v>
      </c>
      <c r="R19" s="13">
        <v>10.772640000000001</v>
      </c>
      <c r="S19" s="13">
        <v>13.218562</v>
      </c>
      <c r="T19" s="13">
        <v>11.233801</v>
      </c>
      <c r="U19" s="13">
        <v>9.9747570000000003</v>
      </c>
      <c r="V19" s="13">
        <v>13.250552000000001</v>
      </c>
      <c r="W19" s="13">
        <v>22.968402999999999</v>
      </c>
      <c r="X19" s="13">
        <v>33.257551999999997</v>
      </c>
      <c r="Y19" s="13">
        <v>42.356464000000003</v>
      </c>
      <c r="Z19" s="13">
        <v>48.914534000000003</v>
      </c>
      <c r="AA19" s="13">
        <v>47.676279000000001</v>
      </c>
      <c r="AB19" s="13">
        <v>51.988097000000003</v>
      </c>
      <c r="AC19" s="13">
        <v>61.050781999999998</v>
      </c>
      <c r="AD19" s="13">
        <v>60.582222999999999</v>
      </c>
      <c r="AE19" s="13">
        <v>64.422139999999999</v>
      </c>
      <c r="AF19" s="13">
        <v>54.679347</v>
      </c>
      <c r="AG19" s="13">
        <v>65.303580999999994</v>
      </c>
      <c r="AH19" s="13">
        <v>72.864639999999994</v>
      </c>
      <c r="AI19" s="13">
        <v>67.553745000000006</v>
      </c>
      <c r="AJ19" s="13">
        <v>63.915823000000003</v>
      </c>
      <c r="AK19" s="13">
        <v>63.560772999999998</v>
      </c>
      <c r="AL19" s="13">
        <v>50.164731000000003</v>
      </c>
      <c r="AM19" s="13">
        <v>49.768489000000002</v>
      </c>
      <c r="AN19" s="13">
        <v>48.006258000000003</v>
      </c>
      <c r="AO19" s="13">
        <v>46.116464000000001</v>
      </c>
      <c r="AP19" s="13">
        <v>51.135126999999997</v>
      </c>
      <c r="AQ19" s="13">
        <v>47.894229000000003</v>
      </c>
      <c r="AR19" s="13">
        <v>58.234520000000003</v>
      </c>
      <c r="AS19" s="13">
        <v>48.384250999999999</v>
      </c>
      <c r="AT19" s="13">
        <v>45.827348000000001</v>
      </c>
      <c r="AU19" s="13">
        <v>46.755012000000001</v>
      </c>
      <c r="AV19" s="13">
        <v>53.448062</v>
      </c>
      <c r="AW19" s="13">
        <v>45.625666000000002</v>
      </c>
      <c r="AX19" s="13">
        <v>51.558546999999997</v>
      </c>
      <c r="AY19" s="13">
        <v>54.881627000000002</v>
      </c>
      <c r="AZ19" s="13">
        <v>55.679645999999998</v>
      </c>
      <c r="BA19" s="13">
        <v>46.496847000000002</v>
      </c>
      <c r="BB19" s="13">
        <v>39.121160000000003</v>
      </c>
    </row>
    <row r="20" spans="1:54" s="47" customFormat="1" x14ac:dyDescent="0.2">
      <c r="A20" s="76" t="s">
        <v>163</v>
      </c>
      <c r="B20" s="75">
        <v>323.31146699999999</v>
      </c>
      <c r="C20" s="13">
        <v>336.85465399999998</v>
      </c>
      <c r="D20" s="13">
        <v>216.711029</v>
      </c>
      <c r="E20" s="13">
        <v>284.56460099999998</v>
      </c>
      <c r="F20" s="13">
        <v>333.69354800000002</v>
      </c>
      <c r="G20" s="13">
        <v>266.86954200000002</v>
      </c>
      <c r="H20" s="13">
        <v>247.09688600000001</v>
      </c>
      <c r="I20" s="13">
        <v>312.45112799999998</v>
      </c>
      <c r="J20" s="13">
        <v>306.88049599999999</v>
      </c>
      <c r="K20" s="13">
        <v>415.55500699999999</v>
      </c>
      <c r="L20" s="13">
        <v>348.99157600000001</v>
      </c>
      <c r="M20" s="13">
        <v>362.28751099999999</v>
      </c>
      <c r="N20" s="13">
        <v>334.74109099999998</v>
      </c>
      <c r="O20" s="13">
        <v>336.68998900000003</v>
      </c>
      <c r="P20" s="13">
        <v>382.86179900000002</v>
      </c>
      <c r="Q20" s="13">
        <v>381.74581799999999</v>
      </c>
      <c r="R20" s="13">
        <v>360.18979400000001</v>
      </c>
      <c r="S20" s="13">
        <v>279.80036899999999</v>
      </c>
      <c r="T20" s="13">
        <v>326.26866100000001</v>
      </c>
      <c r="U20" s="13">
        <v>325.78525400000001</v>
      </c>
      <c r="V20" s="13">
        <v>271.536362</v>
      </c>
      <c r="W20" s="13">
        <v>336.988832</v>
      </c>
      <c r="X20" s="13">
        <v>345.475933</v>
      </c>
      <c r="Y20" s="13">
        <v>321.03614399999998</v>
      </c>
      <c r="Z20" s="13">
        <v>307.83043500000002</v>
      </c>
      <c r="AA20" s="13">
        <v>306.05527499999999</v>
      </c>
      <c r="AB20" s="13">
        <v>269.43342100000001</v>
      </c>
      <c r="AC20" s="13">
        <v>225.718008</v>
      </c>
      <c r="AD20" s="13">
        <v>331.82044999999999</v>
      </c>
      <c r="AE20" s="13">
        <v>305.973613</v>
      </c>
      <c r="AF20" s="13">
        <v>265.18885799999998</v>
      </c>
      <c r="AG20" s="13">
        <v>253.727079</v>
      </c>
      <c r="AH20" s="13">
        <v>301.61123500000002</v>
      </c>
      <c r="AI20" s="13">
        <v>277.54467</v>
      </c>
      <c r="AJ20" s="13">
        <v>189.04022800000001</v>
      </c>
      <c r="AK20" s="13">
        <v>252.201448</v>
      </c>
      <c r="AL20" s="13">
        <v>270.72786200000002</v>
      </c>
      <c r="AM20" s="13">
        <v>301.08212700000001</v>
      </c>
      <c r="AN20" s="13">
        <v>298.66672899999998</v>
      </c>
      <c r="AO20" s="13">
        <v>331.20463100000001</v>
      </c>
      <c r="AP20" s="13">
        <v>214.31380999999999</v>
      </c>
      <c r="AQ20" s="13">
        <v>307.35136899999998</v>
      </c>
      <c r="AR20" s="13">
        <v>295.30132600000002</v>
      </c>
      <c r="AS20" s="13">
        <v>323.07532900000001</v>
      </c>
      <c r="AT20" s="13">
        <v>326.741017</v>
      </c>
      <c r="AU20" s="13">
        <v>348.75213000000002</v>
      </c>
      <c r="AV20" s="13">
        <v>357.67131899999998</v>
      </c>
      <c r="AW20" s="13">
        <v>359.36830400000002</v>
      </c>
      <c r="AX20" s="13">
        <v>309.17519700000003</v>
      </c>
      <c r="AY20" s="13">
        <v>392.749075</v>
      </c>
      <c r="AZ20" s="13">
        <v>363.68870199999998</v>
      </c>
      <c r="BA20" s="13">
        <v>255.149531</v>
      </c>
      <c r="BB20" s="13">
        <v>320.92344600000001</v>
      </c>
    </row>
    <row r="21" spans="1:54" s="47" customFormat="1" x14ac:dyDescent="0.2">
      <c r="A21" s="77" t="s">
        <v>165</v>
      </c>
      <c r="B21" s="75">
        <v>1120.227601</v>
      </c>
      <c r="C21" s="75">
        <v>1120.9107240000001</v>
      </c>
      <c r="D21" s="75">
        <v>916.35432900000001</v>
      </c>
      <c r="E21" s="75">
        <v>1115.3333170000001</v>
      </c>
      <c r="F21" s="75">
        <v>988.83952799999997</v>
      </c>
      <c r="G21" s="75">
        <v>973.44153800000004</v>
      </c>
      <c r="H21" s="75">
        <v>809.73730699999999</v>
      </c>
      <c r="I21" s="75">
        <v>933.47031600000003</v>
      </c>
      <c r="J21" s="75">
        <v>962.73880899999995</v>
      </c>
      <c r="K21" s="75">
        <v>1076.361202</v>
      </c>
      <c r="L21" s="75">
        <v>1302.9868759999999</v>
      </c>
      <c r="M21" s="75">
        <v>1436.952274</v>
      </c>
      <c r="N21" s="75">
        <v>1271.5414109999999</v>
      </c>
      <c r="O21" s="75">
        <v>1441.417042</v>
      </c>
      <c r="P21" s="75">
        <v>1336.2749739999999</v>
      </c>
      <c r="Q21" s="75">
        <v>1194.5104040000001</v>
      </c>
      <c r="R21" s="75">
        <v>1231.0506849999999</v>
      </c>
      <c r="S21" s="75">
        <v>1191.9563029999999</v>
      </c>
      <c r="T21" s="75">
        <v>1250.8736710000001</v>
      </c>
      <c r="U21" s="75">
        <v>1177.5967949999999</v>
      </c>
      <c r="V21" s="75">
        <v>1098.5062479999999</v>
      </c>
      <c r="W21" s="75">
        <v>1053.546779</v>
      </c>
      <c r="X21" s="75">
        <v>1033.5993189999999</v>
      </c>
      <c r="Y21" s="75">
        <v>1018.408692</v>
      </c>
      <c r="Z21" s="75">
        <v>1201.478458</v>
      </c>
      <c r="AA21" s="75">
        <v>993.116219</v>
      </c>
      <c r="AB21" s="75">
        <v>888.41732200000001</v>
      </c>
      <c r="AC21" s="75">
        <v>1070.3942689999999</v>
      </c>
      <c r="AD21" s="75">
        <v>957.08690100000001</v>
      </c>
      <c r="AE21" s="75">
        <v>1083.8842420000001</v>
      </c>
      <c r="AF21" s="75">
        <v>1021.149782</v>
      </c>
      <c r="AG21" s="75">
        <v>1083.025181</v>
      </c>
      <c r="AH21" s="75">
        <v>1074.8249559999999</v>
      </c>
      <c r="AI21" s="75">
        <v>971.425389</v>
      </c>
      <c r="AJ21" s="75">
        <v>1053.3384980000001</v>
      </c>
      <c r="AK21" s="75">
        <v>1166.0728859999999</v>
      </c>
      <c r="AL21" s="75">
        <v>1320.993046</v>
      </c>
      <c r="AM21" s="75">
        <v>1294.4267</v>
      </c>
      <c r="AN21" s="75">
        <v>1291.388089</v>
      </c>
      <c r="AO21" s="75">
        <v>1384.457705</v>
      </c>
      <c r="AP21" s="75">
        <v>1420.5609999999999</v>
      </c>
      <c r="AQ21" s="75">
        <v>1461.317624</v>
      </c>
      <c r="AR21" s="75">
        <v>1386.131703</v>
      </c>
      <c r="AS21" s="75">
        <v>1364.0871299999999</v>
      </c>
      <c r="AT21" s="75">
        <v>1395.4157419999999</v>
      </c>
      <c r="AU21" s="75">
        <v>1264.946725</v>
      </c>
      <c r="AV21" s="75">
        <v>1301.264977</v>
      </c>
      <c r="AW21" s="75">
        <v>1409.8850399999999</v>
      </c>
      <c r="AX21" s="75">
        <v>1470.779546</v>
      </c>
      <c r="AY21" s="75">
        <v>1414.0897259999999</v>
      </c>
      <c r="AZ21" s="75">
        <v>1350.39237</v>
      </c>
      <c r="BA21" s="75">
        <v>1026.0045419999999</v>
      </c>
      <c r="BB21" s="75">
        <v>1254.2732289999999</v>
      </c>
    </row>
    <row r="22" spans="1:54" s="47" customFormat="1" x14ac:dyDescent="0.2">
      <c r="A22" s="76" t="s">
        <v>167</v>
      </c>
      <c r="B22" s="75">
        <v>949.97679100000005</v>
      </c>
      <c r="C22" s="13">
        <v>1130.520816</v>
      </c>
      <c r="D22" s="13">
        <v>973.50637200000006</v>
      </c>
      <c r="E22" s="13">
        <v>1151.568796</v>
      </c>
      <c r="F22" s="13">
        <v>1186.074799</v>
      </c>
      <c r="G22" s="13">
        <v>1039.7169650000001</v>
      </c>
      <c r="H22" s="13">
        <v>781.15384500000005</v>
      </c>
      <c r="I22" s="13">
        <v>780.76236100000006</v>
      </c>
      <c r="J22" s="13">
        <v>863.55465300000003</v>
      </c>
      <c r="K22" s="13">
        <v>943.416068</v>
      </c>
      <c r="L22" s="13">
        <v>1016.501875</v>
      </c>
      <c r="M22" s="13">
        <v>1007.43719</v>
      </c>
      <c r="N22" s="13">
        <v>991.77500399999997</v>
      </c>
      <c r="O22" s="13">
        <v>1038.9668160000001</v>
      </c>
      <c r="P22" s="13">
        <v>1046.984078</v>
      </c>
      <c r="Q22" s="13">
        <v>1116.9176399999999</v>
      </c>
      <c r="R22" s="13">
        <v>1120.8751050000001</v>
      </c>
      <c r="S22" s="13">
        <v>1106.441996</v>
      </c>
      <c r="T22" s="13">
        <v>1108.5435649999999</v>
      </c>
      <c r="U22" s="13">
        <v>1081.878592</v>
      </c>
      <c r="V22" s="13">
        <v>952.31683999999996</v>
      </c>
      <c r="W22" s="13">
        <v>1135.8906079999999</v>
      </c>
      <c r="X22" s="13">
        <v>1059.5458819999999</v>
      </c>
      <c r="Y22" s="13">
        <v>1089.6540829999999</v>
      </c>
      <c r="Z22" s="13">
        <v>1103.506112</v>
      </c>
      <c r="AA22" s="13">
        <v>1149.4279289999999</v>
      </c>
      <c r="AB22" s="13">
        <v>999.51273800000001</v>
      </c>
      <c r="AC22" s="13">
        <v>1149.52568</v>
      </c>
      <c r="AD22" s="13">
        <v>1203.9875520000001</v>
      </c>
      <c r="AE22" s="13">
        <v>1213.250751</v>
      </c>
      <c r="AF22" s="13">
        <v>1169.8754329999999</v>
      </c>
      <c r="AG22" s="13">
        <v>1223.0001150000001</v>
      </c>
      <c r="AH22" s="13">
        <v>1228.8963679999999</v>
      </c>
      <c r="AI22" s="13">
        <v>1200.4342959999999</v>
      </c>
      <c r="AJ22" s="13">
        <v>1281.515789</v>
      </c>
      <c r="AK22" s="13">
        <v>1208.361731</v>
      </c>
      <c r="AL22" s="13">
        <v>1173.564486</v>
      </c>
      <c r="AM22" s="13">
        <v>1267.6738339999999</v>
      </c>
      <c r="AN22" s="13">
        <v>1309.580708</v>
      </c>
      <c r="AO22" s="13">
        <v>1315.477729</v>
      </c>
      <c r="AP22" s="13">
        <v>1298.351815</v>
      </c>
      <c r="AQ22" s="13">
        <v>1276.3950359999999</v>
      </c>
      <c r="AR22" s="13">
        <v>1338.394495</v>
      </c>
      <c r="AS22" s="13">
        <v>1341.7464910000001</v>
      </c>
      <c r="AT22" s="13">
        <v>1235.8530049999999</v>
      </c>
      <c r="AU22" s="13">
        <v>1272.7621730000001</v>
      </c>
      <c r="AV22" s="13">
        <v>1320.9022199999999</v>
      </c>
      <c r="AW22" s="13">
        <v>1256.16398</v>
      </c>
      <c r="AX22" s="13">
        <v>1235.513205</v>
      </c>
      <c r="AY22" s="13">
        <v>1262.080878</v>
      </c>
      <c r="AZ22" s="13">
        <v>1214.0122759999999</v>
      </c>
      <c r="BA22" s="13">
        <v>886.94140700000003</v>
      </c>
      <c r="BB22" s="13">
        <v>905.27916400000004</v>
      </c>
    </row>
    <row r="23" spans="1:54" s="47" customFormat="1" ht="13.5" thickBot="1" x14ac:dyDescent="0.25">
      <c r="A23" s="78" t="s">
        <v>176</v>
      </c>
      <c r="B23" s="23">
        <v>4461.3033560000003</v>
      </c>
      <c r="C23" s="23">
        <v>4817.1694870000001</v>
      </c>
      <c r="D23" s="23">
        <v>3979.2634339999995</v>
      </c>
      <c r="E23" s="23">
        <v>4745.3193700000002</v>
      </c>
      <c r="F23" s="23">
        <v>4924.5707279999997</v>
      </c>
      <c r="G23" s="23">
        <v>4456.2591560000001</v>
      </c>
      <c r="H23" s="23">
        <v>3730.7044719999994</v>
      </c>
      <c r="I23" s="23">
        <v>3962.422947</v>
      </c>
      <c r="J23" s="23">
        <v>4138.0588250000001</v>
      </c>
      <c r="K23" s="23">
        <v>4782.5854230000004</v>
      </c>
      <c r="L23" s="23">
        <v>4886.9526660000001</v>
      </c>
      <c r="M23" s="23">
        <v>5048.6742439999998</v>
      </c>
      <c r="N23" s="23">
        <v>4554.7969069999999</v>
      </c>
      <c r="O23" s="23">
        <v>4561.4886019999994</v>
      </c>
      <c r="P23" s="23">
        <v>4464.1551689999997</v>
      </c>
      <c r="Q23" s="23">
        <v>4177.7912459999998</v>
      </c>
      <c r="R23" s="23">
        <v>4152.6388649999999</v>
      </c>
      <c r="S23" s="23">
        <v>3972.6531060000002</v>
      </c>
      <c r="T23" s="23">
        <v>4036.3515020000004</v>
      </c>
      <c r="U23" s="23">
        <v>3943.297388</v>
      </c>
      <c r="V23" s="23">
        <v>3637.5165889999998</v>
      </c>
      <c r="W23" s="23">
        <v>3948.7838019999999</v>
      </c>
      <c r="X23" s="23">
        <v>3799.3126069999994</v>
      </c>
      <c r="Y23" s="23">
        <v>3927.2366139999999</v>
      </c>
      <c r="Z23" s="23">
        <v>4101.1153220000006</v>
      </c>
      <c r="AA23" s="23">
        <v>3871.6858040000002</v>
      </c>
      <c r="AB23" s="23">
        <v>3735.6891719999999</v>
      </c>
      <c r="AC23" s="23">
        <v>3915.6182269999999</v>
      </c>
      <c r="AD23" s="23">
        <v>4059.8015439999999</v>
      </c>
      <c r="AE23" s="23">
        <v>4200.9692519999999</v>
      </c>
      <c r="AF23" s="23">
        <v>4167.2993020000004</v>
      </c>
      <c r="AG23" s="23">
        <v>4202.5052919999998</v>
      </c>
      <c r="AH23" s="23">
        <v>4364.3890469999997</v>
      </c>
      <c r="AI23" s="23">
        <v>4128.8327819999995</v>
      </c>
      <c r="AJ23" s="23">
        <v>4249.0302940000001</v>
      </c>
      <c r="AK23" s="23">
        <v>4430.9290879999999</v>
      </c>
      <c r="AL23" s="23">
        <v>4485.1300230000006</v>
      </c>
      <c r="AM23" s="23">
        <v>4670.8877750000001</v>
      </c>
      <c r="AN23" s="23">
        <v>4692.8055180000001</v>
      </c>
      <c r="AO23" s="23">
        <v>4935.8696390000005</v>
      </c>
      <c r="AP23" s="23">
        <v>4762.6039710000005</v>
      </c>
      <c r="AQ23" s="23">
        <v>4827.8712519999999</v>
      </c>
      <c r="AR23" s="23">
        <v>4725.5117700000001</v>
      </c>
      <c r="AS23" s="23">
        <v>4812.9908850000002</v>
      </c>
      <c r="AT23" s="23">
        <v>4873.2373870000001</v>
      </c>
      <c r="AU23" s="23">
        <v>4786.9940510000006</v>
      </c>
      <c r="AV23" s="23">
        <v>4966.8435509999999</v>
      </c>
      <c r="AW23" s="23">
        <v>4887.6289619999998</v>
      </c>
      <c r="AX23" s="23">
        <v>4972.9065850000006</v>
      </c>
      <c r="AY23" s="23">
        <v>5012.8447019999994</v>
      </c>
      <c r="AZ23" s="23">
        <v>4892.5141619999995</v>
      </c>
      <c r="BA23" s="23">
        <v>3999.3426020000006</v>
      </c>
      <c r="BB23" s="23">
        <v>4253.7838449999999</v>
      </c>
    </row>
    <row r="24" spans="1:54" s="47" customFormat="1" ht="13.5" thickTop="1" x14ac:dyDescent="0.2"/>
    <row r="25" spans="1:54" s="47" customFormat="1" x14ac:dyDescent="0.2"/>
    <row r="26" spans="1:54" s="47" customFormat="1" x14ac:dyDescent="0.2"/>
    <row r="27" spans="1:54" s="47" customFormat="1" x14ac:dyDescent="0.2"/>
    <row r="28" spans="1:54" s="47" customFormat="1" x14ac:dyDescent="0.2"/>
    <row r="29" spans="1:54" s="47" customFormat="1" x14ac:dyDescent="0.2"/>
    <row r="30" spans="1:54" s="47" customFormat="1" x14ac:dyDescent="0.2"/>
    <row r="31" spans="1:54" s="47" customFormat="1" x14ac:dyDescent="0.2"/>
    <row r="32" spans="1:54" s="47" customFormat="1" x14ac:dyDescent="0.2"/>
    <row r="33" s="47" customFormat="1" x14ac:dyDescent="0.2"/>
    <row r="34" s="47" customFormat="1" x14ac:dyDescent="0.2"/>
    <row r="35" s="47" customFormat="1" x14ac:dyDescent="0.2"/>
    <row r="36" s="47" customFormat="1" x14ac:dyDescent="0.2"/>
    <row r="37" s="47" customFormat="1" x14ac:dyDescent="0.2"/>
    <row r="38" s="47" customFormat="1" x14ac:dyDescent="0.2"/>
    <row r="39" s="47" customFormat="1" x14ac:dyDescent="0.2"/>
    <row r="40" s="47" customFormat="1" x14ac:dyDescent="0.2"/>
    <row r="41" s="47" customFormat="1" x14ac:dyDescent="0.2"/>
    <row r="42" s="47" customFormat="1" x14ac:dyDescent="0.2"/>
    <row r="43" s="47" customFormat="1" x14ac:dyDescent="0.2"/>
    <row r="44" s="47" customFormat="1" x14ac:dyDescent="0.2"/>
    <row r="45" s="47" customFormat="1" x14ac:dyDescent="0.2"/>
    <row r="46" s="47" customFormat="1" x14ac:dyDescent="0.2"/>
    <row r="47" s="47" customFormat="1" x14ac:dyDescent="0.2"/>
    <row r="48" s="47" customFormat="1" x14ac:dyDescent="0.2"/>
    <row r="49" s="47" customFormat="1" x14ac:dyDescent="0.2"/>
    <row r="50" s="47" customFormat="1" x14ac:dyDescent="0.2"/>
    <row r="51" s="47" customFormat="1" x14ac:dyDescent="0.2"/>
    <row r="52" s="47" customFormat="1" x14ac:dyDescent="0.2"/>
    <row r="53" s="47" customFormat="1" x14ac:dyDescent="0.2"/>
    <row r="54" s="47" customFormat="1" x14ac:dyDescent="0.2"/>
    <row r="55" s="47" customFormat="1" x14ac:dyDescent="0.2"/>
  </sheetData>
  <sheetProtection algorithmName="SHA-512" hashValue="rOUI1IAaic7yIZyxF7J3JWLJhbYkJSvSFUO2jvQeNaUtNURbwMlkimrVas0IW+AojxoF4TXFNtrVj/wxX5cZ1A==" saltValue="RGOU3foIPfJEvfkWQHfJ3Q==" spinCount="100000" sheet="1" objects="1" scenarios="1"/>
  <mergeCells count="1">
    <mergeCell ref="A1:BA1"/>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D2686-2172-465E-A095-683FEA6E2F0B}">
  <sheetPr codeName="Sheet22">
    <tabColor rgb="FF92D050"/>
  </sheetPr>
  <dimension ref="A1:BB54"/>
  <sheetViews>
    <sheetView workbookViewId="0">
      <selection activeCell="C22" sqref="C22"/>
    </sheetView>
  </sheetViews>
  <sheetFormatPr defaultColWidth="6.7109375" defaultRowHeight="12.75" x14ac:dyDescent="0.2"/>
  <cols>
    <col min="1" max="1" width="50.42578125" style="42" bestFit="1" customWidth="1"/>
    <col min="2" max="2" width="9.42578125" style="43" customWidth="1"/>
    <col min="3" max="52" width="9.42578125" style="42" customWidth="1"/>
    <col min="53" max="53" width="9.5703125" style="42" bestFit="1" customWidth="1"/>
    <col min="54" max="16384" width="6.7109375" style="42"/>
  </cols>
  <sheetData>
    <row r="1" spans="1:54" ht="23.25" x14ac:dyDescent="0.35">
      <c r="A1" s="145" t="s">
        <v>229</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c r="AE1" s="145"/>
      <c r="AF1" s="145"/>
      <c r="AG1" s="145"/>
      <c r="AH1" s="145"/>
      <c r="AI1" s="145"/>
      <c r="AJ1" s="145"/>
      <c r="AK1" s="145"/>
      <c r="AL1" s="145"/>
      <c r="AM1" s="145"/>
      <c r="AN1" s="145"/>
      <c r="AO1" s="145"/>
      <c r="AP1" s="145"/>
      <c r="AQ1" s="145"/>
      <c r="AR1" s="145"/>
      <c r="AS1" s="145"/>
      <c r="AT1" s="145"/>
      <c r="AU1" s="145"/>
      <c r="AV1" s="145"/>
      <c r="AW1" s="145"/>
      <c r="AX1" s="145"/>
      <c r="AY1" s="145"/>
      <c r="AZ1" s="145"/>
      <c r="BA1" s="145"/>
    </row>
    <row r="2" spans="1:54" ht="13.5" thickBot="1" x14ac:dyDescent="0.25">
      <c r="A2" s="7" t="s">
        <v>223</v>
      </c>
      <c r="B2" s="5">
        <v>1</v>
      </c>
      <c r="C2" s="5">
        <v>2</v>
      </c>
      <c r="D2" s="5">
        <v>3</v>
      </c>
      <c r="E2" s="5">
        <v>4</v>
      </c>
      <c r="F2" s="5">
        <v>5</v>
      </c>
      <c r="G2" s="5">
        <v>6</v>
      </c>
      <c r="H2" s="5">
        <v>7</v>
      </c>
      <c r="I2" s="5">
        <v>8</v>
      </c>
      <c r="J2" s="5">
        <v>9</v>
      </c>
      <c r="K2" s="5">
        <v>10</v>
      </c>
      <c r="L2" s="5">
        <v>11</v>
      </c>
      <c r="M2" s="5">
        <v>12</v>
      </c>
      <c r="N2" s="5">
        <v>13</v>
      </c>
      <c r="O2" s="5">
        <v>14</v>
      </c>
      <c r="P2" s="5">
        <v>15</v>
      </c>
      <c r="Q2" s="5">
        <v>16</v>
      </c>
      <c r="R2" s="5">
        <v>17</v>
      </c>
      <c r="S2" s="5">
        <v>18</v>
      </c>
      <c r="T2" s="5">
        <v>19</v>
      </c>
      <c r="U2" s="5">
        <v>20</v>
      </c>
      <c r="V2" s="5">
        <v>21</v>
      </c>
      <c r="W2" s="5">
        <v>22</v>
      </c>
      <c r="X2" s="5">
        <v>23</v>
      </c>
      <c r="Y2" s="5">
        <v>24</v>
      </c>
      <c r="Z2" s="5">
        <v>25</v>
      </c>
      <c r="AA2" s="5">
        <v>26</v>
      </c>
      <c r="AB2" s="5">
        <v>27</v>
      </c>
      <c r="AC2" s="5">
        <v>28</v>
      </c>
      <c r="AD2" s="5">
        <v>29</v>
      </c>
      <c r="AE2" s="5">
        <v>30</v>
      </c>
      <c r="AF2" s="5">
        <v>31</v>
      </c>
      <c r="AG2" s="5">
        <v>32</v>
      </c>
      <c r="AH2" s="5">
        <v>33</v>
      </c>
      <c r="AI2" s="5">
        <v>34</v>
      </c>
      <c r="AJ2" s="5">
        <v>35</v>
      </c>
      <c r="AK2" s="5">
        <v>36</v>
      </c>
      <c r="AL2" s="5">
        <v>37</v>
      </c>
      <c r="AM2" s="5">
        <v>38</v>
      </c>
      <c r="AN2" s="5">
        <v>39</v>
      </c>
      <c r="AO2" s="5">
        <v>40</v>
      </c>
      <c r="AP2" s="5">
        <v>41</v>
      </c>
      <c r="AQ2" s="5">
        <v>42</v>
      </c>
      <c r="AR2" s="5">
        <v>43</v>
      </c>
      <c r="AS2" s="5">
        <v>44</v>
      </c>
      <c r="AT2" s="5">
        <v>45</v>
      </c>
      <c r="AU2" s="5">
        <v>46</v>
      </c>
      <c r="AV2" s="5">
        <v>47</v>
      </c>
      <c r="AW2" s="5">
        <v>48</v>
      </c>
      <c r="AX2" s="5">
        <v>49</v>
      </c>
      <c r="AY2" s="5">
        <v>50</v>
      </c>
      <c r="AZ2" s="5">
        <v>51</v>
      </c>
      <c r="BA2" s="5">
        <v>52</v>
      </c>
    </row>
    <row r="3" spans="1:54" s="45" customFormat="1" ht="24.75" thickBot="1" x14ac:dyDescent="0.25">
      <c r="A3" s="50" t="s">
        <v>179</v>
      </c>
      <c r="B3" s="51">
        <v>43464</v>
      </c>
      <c r="C3" s="51">
        <v>43471</v>
      </c>
      <c r="D3" s="51">
        <v>43478</v>
      </c>
      <c r="E3" s="51">
        <v>43485</v>
      </c>
      <c r="F3" s="51">
        <v>43492</v>
      </c>
      <c r="G3" s="51">
        <v>43499</v>
      </c>
      <c r="H3" s="51">
        <v>43506</v>
      </c>
      <c r="I3" s="51">
        <v>43513</v>
      </c>
      <c r="J3" s="51">
        <v>43520</v>
      </c>
      <c r="K3" s="51">
        <v>43527</v>
      </c>
      <c r="L3" s="51">
        <v>43534</v>
      </c>
      <c r="M3" s="51">
        <v>43541</v>
      </c>
      <c r="N3" s="51">
        <v>43548</v>
      </c>
      <c r="O3" s="51">
        <v>43555</v>
      </c>
      <c r="P3" s="51">
        <v>43562</v>
      </c>
      <c r="Q3" s="51">
        <v>43569</v>
      </c>
      <c r="R3" s="51">
        <v>43576</v>
      </c>
      <c r="S3" s="51">
        <v>43583</v>
      </c>
      <c r="T3" s="51">
        <v>43590</v>
      </c>
      <c r="U3" s="51">
        <v>43597</v>
      </c>
      <c r="V3" s="51">
        <v>43604</v>
      </c>
      <c r="W3" s="51">
        <v>43611</v>
      </c>
      <c r="X3" s="51">
        <v>43618</v>
      </c>
      <c r="Y3" s="51">
        <v>43625</v>
      </c>
      <c r="Z3" s="51">
        <v>43632</v>
      </c>
      <c r="AA3" s="51">
        <v>43639</v>
      </c>
      <c r="AB3" s="51">
        <v>43646</v>
      </c>
      <c r="AC3" s="51">
        <v>43653</v>
      </c>
      <c r="AD3" s="51">
        <v>43660</v>
      </c>
      <c r="AE3" s="51">
        <v>43667</v>
      </c>
      <c r="AF3" s="51">
        <v>43674</v>
      </c>
      <c r="AG3" s="51">
        <v>43681</v>
      </c>
      <c r="AH3" s="51">
        <v>43688</v>
      </c>
      <c r="AI3" s="51">
        <v>43695</v>
      </c>
      <c r="AJ3" s="51">
        <v>43702</v>
      </c>
      <c r="AK3" s="51">
        <v>43709</v>
      </c>
      <c r="AL3" s="51">
        <v>43716</v>
      </c>
      <c r="AM3" s="51">
        <v>43723</v>
      </c>
      <c r="AN3" s="51">
        <v>43730</v>
      </c>
      <c r="AO3" s="51">
        <v>43737</v>
      </c>
      <c r="AP3" s="51">
        <v>43744</v>
      </c>
      <c r="AQ3" s="51">
        <v>43751</v>
      </c>
      <c r="AR3" s="51">
        <v>43758</v>
      </c>
      <c r="AS3" s="51">
        <v>43765</v>
      </c>
      <c r="AT3" s="51">
        <v>43772</v>
      </c>
      <c r="AU3" s="51">
        <v>43779</v>
      </c>
      <c r="AV3" s="51">
        <v>43786</v>
      </c>
      <c r="AW3" s="51">
        <v>43793</v>
      </c>
      <c r="AX3" s="51">
        <v>43800</v>
      </c>
      <c r="AY3" s="51">
        <v>43807</v>
      </c>
      <c r="AZ3" s="51">
        <v>43814</v>
      </c>
      <c r="BA3" s="51">
        <v>43821</v>
      </c>
      <c r="BB3" s="52"/>
    </row>
    <row r="4" spans="1:54" s="47" customFormat="1" x14ac:dyDescent="0.2">
      <c r="A4" s="73" t="s">
        <v>173</v>
      </c>
    </row>
    <row r="5" spans="1:54" s="47" customFormat="1" x14ac:dyDescent="0.2">
      <c r="A5" s="74" t="s">
        <v>155</v>
      </c>
      <c r="B5" s="75">
        <v>5993</v>
      </c>
      <c r="C5" s="75">
        <v>7581</v>
      </c>
      <c r="D5" s="75">
        <v>8311</v>
      </c>
      <c r="E5" s="75">
        <v>7812</v>
      </c>
      <c r="F5" s="75">
        <v>7457</v>
      </c>
      <c r="G5" s="75">
        <v>6721</v>
      </c>
      <c r="H5" s="75">
        <v>7086</v>
      </c>
      <c r="I5" s="75">
        <v>6987</v>
      </c>
      <c r="J5" s="75">
        <v>7075</v>
      </c>
      <c r="K5" s="75">
        <v>7630</v>
      </c>
      <c r="L5" s="75">
        <v>7708</v>
      </c>
      <c r="M5" s="75">
        <v>8070</v>
      </c>
      <c r="N5" s="75">
        <v>8002</v>
      </c>
      <c r="O5" s="75">
        <v>8485</v>
      </c>
      <c r="P5" s="75">
        <v>8364</v>
      </c>
      <c r="Q5" s="75">
        <v>7912</v>
      </c>
      <c r="R5" s="75">
        <v>8135</v>
      </c>
      <c r="S5" s="75">
        <v>7554</v>
      </c>
      <c r="T5" s="75">
        <v>7954</v>
      </c>
      <c r="U5" s="75">
        <v>7732</v>
      </c>
      <c r="V5" s="75">
        <v>7186</v>
      </c>
      <c r="W5" s="75">
        <v>7413</v>
      </c>
      <c r="X5" s="75">
        <v>7282</v>
      </c>
      <c r="Y5" s="75">
        <v>7212</v>
      </c>
      <c r="Z5" s="75">
        <v>7486</v>
      </c>
      <c r="AA5" s="75">
        <v>7379</v>
      </c>
      <c r="AB5" s="75">
        <v>6589</v>
      </c>
      <c r="AC5" s="75">
        <v>7204</v>
      </c>
      <c r="AD5" s="75">
        <v>6938</v>
      </c>
      <c r="AE5" s="75">
        <v>7118</v>
      </c>
      <c r="AF5" s="75">
        <v>6969</v>
      </c>
      <c r="AG5" s="75">
        <v>7005</v>
      </c>
      <c r="AH5" s="75">
        <v>7226</v>
      </c>
      <c r="AI5" s="75">
        <v>7283</v>
      </c>
      <c r="AJ5" s="75">
        <v>7091</v>
      </c>
      <c r="AK5" s="75">
        <v>7001</v>
      </c>
      <c r="AL5" s="75">
        <v>7357</v>
      </c>
      <c r="AM5" s="75">
        <v>7417</v>
      </c>
      <c r="AN5" s="75">
        <v>7206</v>
      </c>
      <c r="AO5" s="75">
        <v>7096</v>
      </c>
      <c r="AP5" s="75">
        <v>6850</v>
      </c>
      <c r="AQ5" s="75">
        <v>6535</v>
      </c>
      <c r="AR5" s="75">
        <v>7209</v>
      </c>
      <c r="AS5" s="75">
        <v>7308</v>
      </c>
      <c r="AT5" s="75">
        <v>6909</v>
      </c>
      <c r="AU5" s="75">
        <v>6910</v>
      </c>
      <c r="AV5" s="75">
        <v>4893</v>
      </c>
      <c r="AW5" s="75">
        <v>4812</v>
      </c>
      <c r="AX5" s="75">
        <v>7300</v>
      </c>
      <c r="AY5" s="75">
        <v>7172</v>
      </c>
      <c r="AZ5" s="75">
        <v>6743</v>
      </c>
      <c r="BA5" s="75">
        <v>5356</v>
      </c>
    </row>
    <row r="6" spans="1:54" s="47" customFormat="1" x14ac:dyDescent="0.2">
      <c r="A6" s="76" t="s">
        <v>157</v>
      </c>
      <c r="B6" s="13">
        <v>14871</v>
      </c>
      <c r="C6" s="13">
        <v>15047</v>
      </c>
      <c r="D6" s="13">
        <v>14136</v>
      </c>
      <c r="E6" s="13">
        <v>13076</v>
      </c>
      <c r="F6" s="13">
        <v>12353</v>
      </c>
      <c r="G6" s="13">
        <v>11502</v>
      </c>
      <c r="H6" s="13">
        <v>12424</v>
      </c>
      <c r="I6" s="13">
        <v>12052</v>
      </c>
      <c r="J6" s="13">
        <v>12885</v>
      </c>
      <c r="K6" s="13">
        <v>12606</v>
      </c>
      <c r="L6" s="13">
        <v>13309</v>
      </c>
      <c r="M6" s="13">
        <v>12935</v>
      </c>
      <c r="N6" s="13">
        <v>13463</v>
      </c>
      <c r="O6" s="13">
        <v>13153</v>
      </c>
      <c r="P6" s="13">
        <v>12747</v>
      </c>
      <c r="Q6" s="13">
        <v>12594</v>
      </c>
      <c r="R6" s="13">
        <v>12961</v>
      </c>
      <c r="S6" s="13">
        <v>13622</v>
      </c>
      <c r="T6" s="13">
        <v>13276</v>
      </c>
      <c r="U6" s="13">
        <v>13533</v>
      </c>
      <c r="V6" s="13">
        <v>13814</v>
      </c>
      <c r="W6" s="13">
        <v>12994</v>
      </c>
      <c r="X6" s="13">
        <v>13717</v>
      </c>
      <c r="Y6" s="13">
        <v>14143</v>
      </c>
      <c r="Z6" s="13">
        <v>13157</v>
      </c>
      <c r="AA6" s="13">
        <v>13873</v>
      </c>
      <c r="AB6" s="13">
        <v>13408</v>
      </c>
      <c r="AC6" s="13">
        <v>13584</v>
      </c>
      <c r="AD6" s="13">
        <v>13661</v>
      </c>
      <c r="AE6" s="13">
        <v>13625</v>
      </c>
      <c r="AF6" s="13">
        <v>13204</v>
      </c>
      <c r="AG6" s="13">
        <v>14062</v>
      </c>
      <c r="AH6" s="13">
        <v>13663</v>
      </c>
      <c r="AI6" s="13">
        <v>13787</v>
      </c>
      <c r="AJ6" s="13">
        <v>13376</v>
      </c>
      <c r="AK6" s="13">
        <v>12882</v>
      </c>
      <c r="AL6" s="13">
        <v>13267</v>
      </c>
      <c r="AM6" s="13">
        <v>14072</v>
      </c>
      <c r="AN6" s="13">
        <v>13291</v>
      </c>
      <c r="AO6" s="13">
        <v>12332</v>
      </c>
      <c r="AP6" s="13">
        <v>12751</v>
      </c>
      <c r="AQ6" s="13">
        <v>13054</v>
      </c>
      <c r="AR6" s="13">
        <v>13627</v>
      </c>
      <c r="AS6" s="13">
        <v>12965</v>
      </c>
      <c r="AT6" s="13">
        <v>13465</v>
      </c>
      <c r="AU6" s="13">
        <v>14064</v>
      </c>
      <c r="AV6" s="13">
        <v>8299</v>
      </c>
      <c r="AW6" s="13">
        <v>9472</v>
      </c>
      <c r="AX6" s="13">
        <v>14879</v>
      </c>
      <c r="AY6" s="13">
        <v>14413</v>
      </c>
      <c r="AZ6" s="13">
        <v>14164</v>
      </c>
      <c r="BA6" s="13">
        <v>12576</v>
      </c>
    </row>
    <row r="7" spans="1:54" s="47" customFormat="1" x14ac:dyDescent="0.2">
      <c r="A7" s="76" t="s">
        <v>159</v>
      </c>
      <c r="B7" s="13">
        <v>18650</v>
      </c>
      <c r="C7" s="13">
        <v>20034</v>
      </c>
      <c r="D7" s="13">
        <v>19050</v>
      </c>
      <c r="E7" s="13">
        <v>18274</v>
      </c>
      <c r="F7" s="13">
        <v>16462</v>
      </c>
      <c r="G7" s="13">
        <v>17883</v>
      </c>
      <c r="H7" s="13">
        <v>18493</v>
      </c>
      <c r="I7" s="13">
        <v>19988</v>
      </c>
      <c r="J7" s="13">
        <v>16901</v>
      </c>
      <c r="K7" s="13">
        <v>18785</v>
      </c>
      <c r="L7" s="13">
        <v>19648</v>
      </c>
      <c r="M7" s="13">
        <v>19964</v>
      </c>
      <c r="N7" s="13">
        <v>19867</v>
      </c>
      <c r="O7" s="13">
        <v>20821</v>
      </c>
      <c r="P7" s="13">
        <v>18621</v>
      </c>
      <c r="Q7" s="13">
        <v>19403</v>
      </c>
      <c r="R7" s="13">
        <v>20289</v>
      </c>
      <c r="S7" s="13">
        <v>21273</v>
      </c>
      <c r="T7" s="13">
        <v>20974</v>
      </c>
      <c r="U7" s="13">
        <v>20997</v>
      </c>
      <c r="V7" s="13">
        <v>21073</v>
      </c>
      <c r="W7" s="13">
        <v>19853</v>
      </c>
      <c r="X7" s="13">
        <v>21115</v>
      </c>
      <c r="Y7" s="13">
        <v>20282</v>
      </c>
      <c r="Z7" s="13">
        <v>20705</v>
      </c>
      <c r="AA7" s="13">
        <v>22399</v>
      </c>
      <c r="AB7" s="13">
        <v>20716</v>
      </c>
      <c r="AC7" s="13">
        <v>21031</v>
      </c>
      <c r="AD7" s="13">
        <v>20147</v>
      </c>
      <c r="AE7" s="13">
        <v>21299</v>
      </c>
      <c r="AF7" s="13">
        <v>20668</v>
      </c>
      <c r="AG7" s="13">
        <v>19844</v>
      </c>
      <c r="AH7" s="13">
        <v>19477</v>
      </c>
      <c r="AI7" s="13">
        <v>21434</v>
      </c>
      <c r="AJ7" s="13">
        <v>20536</v>
      </c>
      <c r="AK7" s="13">
        <v>19986</v>
      </c>
      <c r="AL7" s="13">
        <v>20586</v>
      </c>
      <c r="AM7" s="13">
        <v>20070</v>
      </c>
      <c r="AN7" s="13">
        <v>20204</v>
      </c>
      <c r="AO7" s="13">
        <v>15659</v>
      </c>
      <c r="AP7" s="13">
        <v>18082</v>
      </c>
      <c r="AQ7" s="13">
        <v>17783</v>
      </c>
      <c r="AR7" s="13">
        <v>20135</v>
      </c>
      <c r="AS7" s="13">
        <v>18296</v>
      </c>
      <c r="AT7" s="13">
        <v>18190</v>
      </c>
      <c r="AU7" s="13">
        <v>19297</v>
      </c>
      <c r="AV7" s="13">
        <v>15580</v>
      </c>
      <c r="AW7" s="13">
        <v>16272</v>
      </c>
      <c r="AX7" s="13">
        <v>17970</v>
      </c>
      <c r="AY7" s="13">
        <v>17282</v>
      </c>
      <c r="AZ7" s="13">
        <v>18705</v>
      </c>
      <c r="BA7" s="13">
        <v>17944</v>
      </c>
    </row>
    <row r="8" spans="1:54" s="47" customFormat="1" x14ac:dyDescent="0.2">
      <c r="A8" s="76" t="s">
        <v>161</v>
      </c>
      <c r="B8" s="13">
        <v>3763</v>
      </c>
      <c r="C8" s="13">
        <v>4753</v>
      </c>
      <c r="D8" s="13">
        <v>5805</v>
      </c>
      <c r="E8" s="13">
        <v>4319</v>
      </c>
      <c r="F8" s="13">
        <v>4179</v>
      </c>
      <c r="G8" s="13">
        <v>5090</v>
      </c>
      <c r="H8" s="13">
        <v>5590</v>
      </c>
      <c r="I8" s="13">
        <v>4783</v>
      </c>
      <c r="J8" s="13">
        <v>5461</v>
      </c>
      <c r="K8" s="13">
        <v>5442</v>
      </c>
      <c r="L8" s="13">
        <v>5375</v>
      </c>
      <c r="M8" s="13">
        <v>5911</v>
      </c>
      <c r="N8" s="13">
        <v>5809</v>
      </c>
      <c r="O8" s="13">
        <v>6034</v>
      </c>
      <c r="P8" s="13">
        <v>6182</v>
      </c>
      <c r="Q8" s="13">
        <v>5552</v>
      </c>
      <c r="R8" s="13">
        <v>5713</v>
      </c>
      <c r="S8" s="13">
        <v>6573</v>
      </c>
      <c r="T8" s="13">
        <v>6077</v>
      </c>
      <c r="U8" s="13">
        <v>5978</v>
      </c>
      <c r="V8" s="13">
        <v>5687</v>
      </c>
      <c r="W8" s="13">
        <v>5027</v>
      </c>
      <c r="X8" s="13">
        <v>5311</v>
      </c>
      <c r="Y8" s="13">
        <v>5670</v>
      </c>
      <c r="Z8" s="13">
        <v>5861</v>
      </c>
      <c r="AA8" s="13">
        <v>5423</v>
      </c>
      <c r="AB8" s="13">
        <v>3776</v>
      </c>
      <c r="AC8" s="13">
        <v>3897</v>
      </c>
      <c r="AD8" s="13">
        <v>4646</v>
      </c>
      <c r="AE8" s="13">
        <v>5633</v>
      </c>
      <c r="AF8" s="13">
        <v>5380</v>
      </c>
      <c r="AG8" s="13">
        <v>5404</v>
      </c>
      <c r="AH8" s="13">
        <v>5879</v>
      </c>
      <c r="AI8" s="13">
        <v>5592</v>
      </c>
      <c r="AJ8" s="13">
        <v>5801</v>
      </c>
      <c r="AK8" s="13">
        <v>4643</v>
      </c>
      <c r="AL8" s="13">
        <v>5272</v>
      </c>
      <c r="AM8" s="13">
        <v>5351</v>
      </c>
      <c r="AN8" s="13">
        <v>5015</v>
      </c>
      <c r="AO8" s="13">
        <v>4916</v>
      </c>
      <c r="AP8" s="13">
        <v>4729</v>
      </c>
      <c r="AQ8" s="13">
        <v>4478</v>
      </c>
      <c r="AR8" s="13">
        <v>4330</v>
      </c>
      <c r="AS8" s="13">
        <v>4840</v>
      </c>
      <c r="AT8" s="13">
        <v>5551</v>
      </c>
      <c r="AU8" s="13">
        <v>5096</v>
      </c>
      <c r="AV8" s="13">
        <v>4083</v>
      </c>
      <c r="AW8" s="13">
        <v>3371</v>
      </c>
      <c r="AX8" s="13">
        <v>5195</v>
      </c>
      <c r="AY8" s="13">
        <v>5833</v>
      </c>
      <c r="AZ8" s="13">
        <v>5718</v>
      </c>
      <c r="BA8" s="13">
        <v>2610</v>
      </c>
    </row>
    <row r="9" spans="1:54" s="47" customFormat="1" x14ac:dyDescent="0.2">
      <c r="A9" s="76" t="s">
        <v>163</v>
      </c>
      <c r="B9" s="13">
        <v>6557</v>
      </c>
      <c r="C9" s="13">
        <v>6793</v>
      </c>
      <c r="D9" s="13">
        <v>7536</v>
      </c>
      <c r="E9" s="13">
        <v>6779</v>
      </c>
      <c r="F9" s="13">
        <v>6152</v>
      </c>
      <c r="G9" s="13">
        <v>5446</v>
      </c>
      <c r="H9" s="13">
        <v>6189</v>
      </c>
      <c r="I9" s="13">
        <v>6396</v>
      </c>
      <c r="J9" s="13">
        <v>6450</v>
      </c>
      <c r="K9" s="13">
        <v>6223</v>
      </c>
      <c r="L9" s="13">
        <v>5437</v>
      </c>
      <c r="M9" s="13">
        <v>5408</v>
      </c>
      <c r="N9" s="13">
        <v>5047</v>
      </c>
      <c r="O9" s="13">
        <v>6812</v>
      </c>
      <c r="P9" s="13">
        <v>7112</v>
      </c>
      <c r="Q9" s="13">
        <v>6935</v>
      </c>
      <c r="R9" s="13">
        <v>7383</v>
      </c>
      <c r="S9" s="13">
        <v>7683</v>
      </c>
      <c r="T9" s="13">
        <v>7129</v>
      </c>
      <c r="U9" s="13">
        <v>7594</v>
      </c>
      <c r="V9" s="13">
        <v>6667</v>
      </c>
      <c r="W9" s="13">
        <v>6087</v>
      </c>
      <c r="X9" s="13">
        <v>7074</v>
      </c>
      <c r="Y9" s="13">
        <v>6588</v>
      </c>
      <c r="Z9" s="13">
        <v>6132</v>
      </c>
      <c r="AA9" s="13">
        <v>5861</v>
      </c>
      <c r="AB9" s="13">
        <v>5840</v>
      </c>
      <c r="AC9" s="13">
        <v>5900</v>
      </c>
      <c r="AD9" s="13">
        <v>7377</v>
      </c>
      <c r="AE9" s="13">
        <v>6724</v>
      </c>
      <c r="AF9" s="13">
        <v>5933</v>
      </c>
      <c r="AG9" s="13">
        <v>5619</v>
      </c>
      <c r="AH9" s="13">
        <v>6025</v>
      </c>
      <c r="AI9" s="13">
        <v>6895</v>
      </c>
      <c r="AJ9" s="13">
        <v>8409</v>
      </c>
      <c r="AK9" s="13">
        <v>7042</v>
      </c>
      <c r="AL9" s="13">
        <v>6031</v>
      </c>
      <c r="AM9" s="13">
        <v>6785</v>
      </c>
      <c r="AN9" s="13">
        <v>6676</v>
      </c>
      <c r="AO9" s="13">
        <v>5940</v>
      </c>
      <c r="AP9" s="13">
        <v>7452</v>
      </c>
      <c r="AQ9" s="13">
        <v>5580</v>
      </c>
      <c r="AR9" s="13">
        <v>7324</v>
      </c>
      <c r="AS9" s="13">
        <v>6779</v>
      </c>
      <c r="AT9" s="13">
        <v>6358</v>
      </c>
      <c r="AU9" s="13">
        <v>5605</v>
      </c>
      <c r="AV9" s="13">
        <v>4458</v>
      </c>
      <c r="AW9" s="13">
        <v>5119</v>
      </c>
      <c r="AX9" s="13">
        <v>5687</v>
      </c>
      <c r="AY9" s="13">
        <v>6371</v>
      </c>
      <c r="AZ9" s="13">
        <v>6800</v>
      </c>
      <c r="BA9" s="13">
        <v>5795</v>
      </c>
    </row>
    <row r="10" spans="1:54" s="47" customFormat="1" x14ac:dyDescent="0.2">
      <c r="A10" s="77" t="s">
        <v>165</v>
      </c>
      <c r="B10" s="75">
        <v>10542</v>
      </c>
      <c r="C10" s="75">
        <v>12426</v>
      </c>
      <c r="D10" s="75">
        <v>11772</v>
      </c>
      <c r="E10" s="75">
        <v>11786</v>
      </c>
      <c r="F10" s="75">
        <v>10379</v>
      </c>
      <c r="G10" s="75">
        <v>11099</v>
      </c>
      <c r="H10" s="75">
        <v>10435</v>
      </c>
      <c r="I10" s="75">
        <v>10350</v>
      </c>
      <c r="J10" s="75">
        <v>11866</v>
      </c>
      <c r="K10" s="75">
        <v>10580</v>
      </c>
      <c r="L10" s="75">
        <v>12405</v>
      </c>
      <c r="M10" s="75">
        <v>12514</v>
      </c>
      <c r="N10" s="75">
        <v>13244</v>
      </c>
      <c r="O10" s="75">
        <v>14081</v>
      </c>
      <c r="P10" s="75">
        <v>13928</v>
      </c>
      <c r="Q10" s="75">
        <v>13299</v>
      </c>
      <c r="R10" s="75">
        <v>14113</v>
      </c>
      <c r="S10" s="75">
        <v>13990</v>
      </c>
      <c r="T10" s="75">
        <v>11976</v>
      </c>
      <c r="U10" s="75">
        <v>13042</v>
      </c>
      <c r="V10" s="75">
        <v>10968</v>
      </c>
      <c r="W10" s="75">
        <v>11513</v>
      </c>
      <c r="X10" s="75">
        <v>12089</v>
      </c>
      <c r="Y10" s="75">
        <v>12862</v>
      </c>
      <c r="Z10" s="75">
        <v>11459</v>
      </c>
      <c r="AA10" s="75">
        <v>14799</v>
      </c>
      <c r="AB10" s="75">
        <v>10423</v>
      </c>
      <c r="AC10" s="75">
        <v>11454</v>
      </c>
      <c r="AD10" s="75">
        <v>10990</v>
      </c>
      <c r="AE10" s="75">
        <v>10954</v>
      </c>
      <c r="AF10" s="75">
        <v>9767</v>
      </c>
      <c r="AG10" s="75">
        <v>11660</v>
      </c>
      <c r="AH10" s="75">
        <v>10289</v>
      </c>
      <c r="AI10" s="75">
        <v>11139</v>
      </c>
      <c r="AJ10" s="75">
        <v>10598</v>
      </c>
      <c r="AK10" s="75">
        <v>11072</v>
      </c>
      <c r="AL10" s="75">
        <v>10446</v>
      </c>
      <c r="AM10" s="75">
        <v>11601</v>
      </c>
      <c r="AN10" s="75">
        <v>11362</v>
      </c>
      <c r="AO10" s="75">
        <v>13104</v>
      </c>
      <c r="AP10" s="75">
        <v>11515</v>
      </c>
      <c r="AQ10" s="75">
        <v>13556</v>
      </c>
      <c r="AR10" s="75">
        <v>12458</v>
      </c>
      <c r="AS10" s="75">
        <v>12148</v>
      </c>
      <c r="AT10" s="75">
        <v>13496</v>
      </c>
      <c r="AU10" s="75">
        <v>12772</v>
      </c>
      <c r="AV10" s="75">
        <v>9822</v>
      </c>
      <c r="AW10" s="75">
        <v>8898</v>
      </c>
      <c r="AX10" s="75">
        <v>12757</v>
      </c>
      <c r="AY10" s="75">
        <v>13009</v>
      </c>
      <c r="AZ10" s="75">
        <v>12891</v>
      </c>
      <c r="BA10" s="75">
        <v>10354</v>
      </c>
    </row>
    <row r="11" spans="1:54" s="47" customFormat="1" x14ac:dyDescent="0.2">
      <c r="A11" s="76" t="s">
        <v>167</v>
      </c>
      <c r="B11" s="13">
        <v>40649</v>
      </c>
      <c r="C11" s="13">
        <v>53057</v>
      </c>
      <c r="D11" s="13">
        <v>52140</v>
      </c>
      <c r="E11" s="13">
        <v>48298</v>
      </c>
      <c r="F11" s="13">
        <v>44325</v>
      </c>
      <c r="G11" s="13">
        <v>45483</v>
      </c>
      <c r="H11" s="13">
        <v>45581</v>
      </c>
      <c r="I11" s="13">
        <v>49164</v>
      </c>
      <c r="J11" s="13">
        <v>48759</v>
      </c>
      <c r="K11" s="13">
        <v>48988</v>
      </c>
      <c r="L11" s="13">
        <v>50078</v>
      </c>
      <c r="M11" s="13">
        <v>50742</v>
      </c>
      <c r="N11" s="13">
        <v>52416</v>
      </c>
      <c r="O11" s="13">
        <v>52270</v>
      </c>
      <c r="P11" s="13">
        <v>54171</v>
      </c>
      <c r="Q11" s="13">
        <v>50491</v>
      </c>
      <c r="R11" s="13">
        <v>52583</v>
      </c>
      <c r="S11" s="13">
        <v>52708</v>
      </c>
      <c r="T11" s="13">
        <v>50363</v>
      </c>
      <c r="U11" s="13">
        <v>49562</v>
      </c>
      <c r="V11" s="13">
        <v>47450</v>
      </c>
      <c r="W11" s="13">
        <v>48281</v>
      </c>
      <c r="X11" s="13">
        <v>51440</v>
      </c>
      <c r="Y11" s="13">
        <v>50812</v>
      </c>
      <c r="Z11" s="13">
        <v>50137</v>
      </c>
      <c r="AA11" s="13">
        <v>52422</v>
      </c>
      <c r="AB11" s="13">
        <v>48136</v>
      </c>
      <c r="AC11" s="13">
        <v>52050</v>
      </c>
      <c r="AD11" s="13">
        <v>51651</v>
      </c>
      <c r="AE11" s="13">
        <v>50592</v>
      </c>
      <c r="AF11" s="13">
        <v>55085</v>
      </c>
      <c r="AG11" s="13">
        <v>51193</v>
      </c>
      <c r="AH11" s="13">
        <v>56602</v>
      </c>
      <c r="AI11" s="13">
        <v>53297</v>
      </c>
      <c r="AJ11" s="13">
        <v>54050</v>
      </c>
      <c r="AK11" s="13">
        <v>48928</v>
      </c>
      <c r="AL11" s="13">
        <v>55019</v>
      </c>
      <c r="AM11" s="13">
        <v>53943</v>
      </c>
      <c r="AN11" s="13">
        <v>54273</v>
      </c>
      <c r="AO11" s="13">
        <v>53995</v>
      </c>
      <c r="AP11" s="13">
        <v>53609</v>
      </c>
      <c r="AQ11" s="13">
        <v>49260</v>
      </c>
      <c r="AR11" s="13">
        <v>51254</v>
      </c>
      <c r="AS11" s="13">
        <v>48345</v>
      </c>
      <c r="AT11" s="13">
        <v>49078</v>
      </c>
      <c r="AU11" s="13">
        <v>47946</v>
      </c>
      <c r="AV11" s="13">
        <v>45985</v>
      </c>
      <c r="AW11" s="13">
        <v>47386</v>
      </c>
      <c r="AX11" s="13">
        <v>47472</v>
      </c>
      <c r="AY11" s="13">
        <v>50597</v>
      </c>
      <c r="AZ11" s="13">
        <v>48660</v>
      </c>
      <c r="BA11" s="13">
        <v>38154</v>
      </c>
    </row>
    <row r="12" spans="1:54" s="47" customFormat="1" ht="13.5" thickBot="1" x14ac:dyDescent="0.25">
      <c r="A12" s="78" t="s">
        <v>174</v>
      </c>
      <c r="B12" s="23">
        <v>101025</v>
      </c>
      <c r="C12" s="23">
        <v>119691</v>
      </c>
      <c r="D12" s="23">
        <v>118750</v>
      </c>
      <c r="E12" s="23">
        <v>110344</v>
      </c>
      <c r="F12" s="23">
        <v>101307</v>
      </c>
      <c r="G12" s="23">
        <v>103224</v>
      </c>
      <c r="H12" s="23">
        <v>105798</v>
      </c>
      <c r="I12" s="23">
        <v>109720</v>
      </c>
      <c r="J12" s="23">
        <v>109397</v>
      </c>
      <c r="K12" s="23">
        <v>110254</v>
      </c>
      <c r="L12" s="23">
        <v>113960</v>
      </c>
      <c r="M12" s="23">
        <v>115544</v>
      </c>
      <c r="N12" s="23">
        <v>117848</v>
      </c>
      <c r="O12" s="23">
        <v>121656</v>
      </c>
      <c r="P12" s="23">
        <v>121125</v>
      </c>
      <c r="Q12" s="23">
        <v>116186</v>
      </c>
      <c r="R12" s="23">
        <v>121177</v>
      </c>
      <c r="S12" s="23">
        <v>123403</v>
      </c>
      <c r="T12" s="23">
        <v>117749</v>
      </c>
      <c r="U12" s="23">
        <v>118438</v>
      </c>
      <c r="V12" s="23">
        <v>112845</v>
      </c>
      <c r="W12" s="23">
        <v>111168</v>
      </c>
      <c r="X12" s="23">
        <v>118028</v>
      </c>
      <c r="Y12" s="23">
        <v>117569</v>
      </c>
      <c r="Z12" s="23">
        <v>114937</v>
      </c>
      <c r="AA12" s="23">
        <v>122156</v>
      </c>
      <c r="AB12" s="23">
        <v>108888</v>
      </c>
      <c r="AC12" s="23">
        <v>115120</v>
      </c>
      <c r="AD12" s="23">
        <v>115410</v>
      </c>
      <c r="AE12" s="23">
        <v>115945</v>
      </c>
      <c r="AF12" s="23">
        <v>117006</v>
      </c>
      <c r="AG12" s="23">
        <v>114787</v>
      </c>
      <c r="AH12" s="23">
        <v>119161</v>
      </c>
      <c r="AI12" s="23">
        <v>119427</v>
      </c>
      <c r="AJ12" s="23">
        <v>119861</v>
      </c>
      <c r="AK12" s="23">
        <v>111554</v>
      </c>
      <c r="AL12" s="23">
        <v>117978</v>
      </c>
      <c r="AM12" s="23">
        <v>119239</v>
      </c>
      <c r="AN12" s="23">
        <v>118027</v>
      </c>
      <c r="AO12" s="23">
        <v>113042</v>
      </c>
      <c r="AP12" s="23">
        <v>114988</v>
      </c>
      <c r="AQ12" s="23">
        <v>110246</v>
      </c>
      <c r="AR12" s="23">
        <v>116337</v>
      </c>
      <c r="AS12" s="23">
        <v>110681</v>
      </c>
      <c r="AT12" s="23">
        <v>113047</v>
      </c>
      <c r="AU12" s="23">
        <v>111690</v>
      </c>
      <c r="AV12" s="23">
        <v>93120</v>
      </c>
      <c r="AW12" s="23">
        <v>95330</v>
      </c>
      <c r="AX12" s="23">
        <v>111260</v>
      </c>
      <c r="AY12" s="23">
        <v>114677</v>
      </c>
      <c r="AZ12" s="23">
        <v>113681</v>
      </c>
      <c r="BA12" s="23">
        <v>92789</v>
      </c>
    </row>
    <row r="13" spans="1:54" s="47" customFormat="1" ht="13.5" thickTop="1" x14ac:dyDescent="0.2">
      <c r="A13" s="76"/>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row>
    <row r="14" spans="1:54" s="47" customFormat="1" x14ac:dyDescent="0.2">
      <c r="A14" s="73" t="s">
        <v>175</v>
      </c>
    </row>
    <row r="15" spans="1:54" s="47" customFormat="1" x14ac:dyDescent="0.2">
      <c r="A15" s="74" t="s">
        <v>155</v>
      </c>
      <c r="B15" s="75">
        <v>383.60130600000002</v>
      </c>
      <c r="C15" s="75">
        <v>523.37027</v>
      </c>
      <c r="D15" s="75">
        <v>602.71928600000001</v>
      </c>
      <c r="E15" s="75">
        <v>572.72111800000005</v>
      </c>
      <c r="F15" s="75">
        <v>533.12508300000002</v>
      </c>
      <c r="G15" s="75">
        <v>473.87615099999999</v>
      </c>
      <c r="H15" s="75">
        <v>496.66163299999999</v>
      </c>
      <c r="I15" s="75">
        <v>485.38164699999999</v>
      </c>
      <c r="J15" s="75">
        <v>531.64642600000002</v>
      </c>
      <c r="K15" s="75">
        <v>521.06365600000004</v>
      </c>
      <c r="L15" s="75">
        <v>543.60861999999997</v>
      </c>
      <c r="M15" s="75">
        <v>590.01924199999996</v>
      </c>
      <c r="N15" s="75">
        <v>605.336409</v>
      </c>
      <c r="O15" s="75">
        <v>620.35588399999995</v>
      </c>
      <c r="P15" s="75">
        <v>623.98955799999999</v>
      </c>
      <c r="Q15" s="75">
        <v>575.15232000000003</v>
      </c>
      <c r="R15" s="75">
        <v>598.28624200000002</v>
      </c>
      <c r="S15" s="75">
        <v>559.33107199999995</v>
      </c>
      <c r="T15" s="75">
        <v>575.36400900000001</v>
      </c>
      <c r="U15" s="75">
        <v>563.46353899999997</v>
      </c>
      <c r="V15" s="75">
        <v>511.541763</v>
      </c>
      <c r="W15" s="75">
        <v>513.78141900000003</v>
      </c>
      <c r="X15" s="75">
        <v>527.16050199999995</v>
      </c>
      <c r="Y15" s="75">
        <v>533.19918800000005</v>
      </c>
      <c r="Z15" s="75">
        <v>558.57322299999998</v>
      </c>
      <c r="AA15" s="75">
        <v>515.68401100000005</v>
      </c>
      <c r="AB15" s="75">
        <v>454.765399</v>
      </c>
      <c r="AC15" s="75">
        <v>513.96999000000005</v>
      </c>
      <c r="AD15" s="75">
        <v>497.49145900000002</v>
      </c>
      <c r="AE15" s="75">
        <v>538.76782700000001</v>
      </c>
      <c r="AF15" s="75">
        <v>505.94403699999998</v>
      </c>
      <c r="AG15" s="75">
        <v>499.57423599999998</v>
      </c>
      <c r="AH15" s="75">
        <v>527.375451</v>
      </c>
      <c r="AI15" s="75">
        <v>534.70805700000005</v>
      </c>
      <c r="AJ15" s="75">
        <v>519.870093</v>
      </c>
      <c r="AK15" s="75">
        <v>499.358563</v>
      </c>
      <c r="AL15" s="75">
        <v>556.87612000000001</v>
      </c>
      <c r="AM15" s="75">
        <v>548.13780199999997</v>
      </c>
      <c r="AN15" s="75">
        <v>525.99767599999996</v>
      </c>
      <c r="AO15" s="75">
        <v>514.172867</v>
      </c>
      <c r="AP15" s="75">
        <v>511.27687700000001</v>
      </c>
      <c r="AQ15" s="75">
        <v>487.53161699999998</v>
      </c>
      <c r="AR15" s="75">
        <v>550.350145</v>
      </c>
      <c r="AS15" s="75">
        <v>551.76002800000003</v>
      </c>
      <c r="AT15" s="75">
        <v>531.76446099999998</v>
      </c>
      <c r="AU15" s="75">
        <v>499.83525100000003</v>
      </c>
      <c r="AV15" s="75">
        <v>310.00008500000001</v>
      </c>
      <c r="AW15" s="75">
        <v>313.59326399999998</v>
      </c>
      <c r="AX15" s="75">
        <v>555.22817699999996</v>
      </c>
      <c r="AY15" s="75">
        <v>534.15275699999995</v>
      </c>
      <c r="AZ15" s="75">
        <v>500.68592200000001</v>
      </c>
      <c r="BA15" s="75">
        <v>356.60756500000002</v>
      </c>
    </row>
    <row r="16" spans="1:54" s="47" customFormat="1" x14ac:dyDescent="0.2">
      <c r="A16" s="76" t="s">
        <v>157</v>
      </c>
      <c r="B16" s="13">
        <v>1352.4487340000001</v>
      </c>
      <c r="C16" s="13">
        <v>1233.945121</v>
      </c>
      <c r="D16" s="13">
        <v>1156.81862</v>
      </c>
      <c r="E16" s="13">
        <v>966.39489600000002</v>
      </c>
      <c r="F16" s="13">
        <v>924.73305900000003</v>
      </c>
      <c r="G16" s="13">
        <v>794.28053899999998</v>
      </c>
      <c r="H16" s="13">
        <v>888.66355199999998</v>
      </c>
      <c r="I16" s="13">
        <v>830.40644099999997</v>
      </c>
      <c r="J16" s="13">
        <v>941.18800599999997</v>
      </c>
      <c r="K16" s="13">
        <v>887.74848499999996</v>
      </c>
      <c r="L16" s="13">
        <v>975.71865600000001</v>
      </c>
      <c r="M16" s="13">
        <v>995.03568800000005</v>
      </c>
      <c r="N16" s="13">
        <v>1023.343947</v>
      </c>
      <c r="O16" s="13">
        <v>1005.801133</v>
      </c>
      <c r="P16" s="13">
        <v>1003.395133</v>
      </c>
      <c r="Q16" s="13">
        <v>948.57695799999999</v>
      </c>
      <c r="R16" s="13">
        <v>1076.1429149999999</v>
      </c>
      <c r="S16" s="13">
        <v>1073.25899</v>
      </c>
      <c r="T16" s="13">
        <v>1112.740984</v>
      </c>
      <c r="U16" s="13">
        <v>1154.4863339999999</v>
      </c>
      <c r="V16" s="13">
        <v>1207.3500859999999</v>
      </c>
      <c r="W16" s="13">
        <v>1082.890672</v>
      </c>
      <c r="X16" s="13">
        <v>1173.0483320000001</v>
      </c>
      <c r="Y16" s="13">
        <v>1177.2531329999999</v>
      </c>
      <c r="Z16" s="13">
        <v>1150.0556489999999</v>
      </c>
      <c r="AA16" s="13">
        <v>1175.6972860000001</v>
      </c>
      <c r="AB16" s="13">
        <v>1143.1530339999999</v>
      </c>
      <c r="AC16" s="13">
        <v>1169.3317750000001</v>
      </c>
      <c r="AD16" s="13">
        <v>1140.0684020000001</v>
      </c>
      <c r="AE16" s="13">
        <v>1077.675759</v>
      </c>
      <c r="AF16" s="13">
        <v>1003.447136</v>
      </c>
      <c r="AG16" s="13">
        <v>1127.842725</v>
      </c>
      <c r="AH16" s="13">
        <v>1058.1749339999999</v>
      </c>
      <c r="AI16" s="13">
        <v>1086.0205510000001</v>
      </c>
      <c r="AJ16" s="13">
        <v>1018.161839</v>
      </c>
      <c r="AK16" s="13">
        <v>1040.7079080000001</v>
      </c>
      <c r="AL16" s="13">
        <v>957.95855200000005</v>
      </c>
      <c r="AM16" s="13">
        <v>1125.836626</v>
      </c>
      <c r="AN16" s="13">
        <v>1024.2352410000001</v>
      </c>
      <c r="AO16" s="13">
        <v>885.20966199999998</v>
      </c>
      <c r="AP16" s="13">
        <v>919.24208399999998</v>
      </c>
      <c r="AQ16" s="13">
        <v>966.11277900000005</v>
      </c>
      <c r="AR16" s="13">
        <v>1023.156109</v>
      </c>
      <c r="AS16" s="13">
        <v>971.97745399999997</v>
      </c>
      <c r="AT16" s="13">
        <v>981.63268100000005</v>
      </c>
      <c r="AU16" s="13">
        <v>1110.193612</v>
      </c>
      <c r="AV16" s="13">
        <v>583.69613500000003</v>
      </c>
      <c r="AW16" s="13">
        <v>710.26673900000003</v>
      </c>
      <c r="AX16" s="13">
        <v>1191.187592</v>
      </c>
      <c r="AY16" s="13">
        <v>1140.524459</v>
      </c>
      <c r="AZ16" s="13">
        <v>1096.787413</v>
      </c>
      <c r="BA16" s="13">
        <v>977.829027</v>
      </c>
    </row>
    <row r="17" spans="1:53" s="47" customFormat="1" x14ac:dyDescent="0.2">
      <c r="A17" s="76" t="s">
        <v>159</v>
      </c>
      <c r="B17" s="13">
        <v>417.86631799999998</v>
      </c>
      <c r="C17" s="13">
        <v>505.54881499999999</v>
      </c>
      <c r="D17" s="13">
        <v>504.710939</v>
      </c>
      <c r="E17" s="13">
        <v>502.39880799999997</v>
      </c>
      <c r="F17" s="13">
        <v>496.90403700000002</v>
      </c>
      <c r="G17" s="13">
        <v>481.23504800000001</v>
      </c>
      <c r="H17" s="13">
        <v>423.05488600000001</v>
      </c>
      <c r="I17" s="13">
        <v>527.31233199999997</v>
      </c>
      <c r="J17" s="13">
        <v>468.98836299999999</v>
      </c>
      <c r="K17" s="13">
        <v>565.559798</v>
      </c>
      <c r="L17" s="13">
        <v>504.50183900000002</v>
      </c>
      <c r="M17" s="13">
        <v>589.75244399999997</v>
      </c>
      <c r="N17" s="13">
        <v>615.33786699999996</v>
      </c>
      <c r="O17" s="13">
        <v>558.15876300000002</v>
      </c>
      <c r="P17" s="13">
        <v>431.052009</v>
      </c>
      <c r="Q17" s="13">
        <v>528.68664799999999</v>
      </c>
      <c r="R17" s="13">
        <v>453.05660899999998</v>
      </c>
      <c r="S17" s="13">
        <v>492.613653</v>
      </c>
      <c r="T17" s="13">
        <v>472.59441399999997</v>
      </c>
      <c r="U17" s="13">
        <v>482.38999899999999</v>
      </c>
      <c r="V17" s="13">
        <v>538.36569599999996</v>
      </c>
      <c r="W17" s="13">
        <v>515.82313699999997</v>
      </c>
      <c r="X17" s="13">
        <v>565.10956599999997</v>
      </c>
      <c r="Y17" s="13">
        <v>576.365587</v>
      </c>
      <c r="Z17" s="13">
        <v>562.49539600000003</v>
      </c>
      <c r="AA17" s="13">
        <v>645.95370800000001</v>
      </c>
      <c r="AB17" s="13">
        <v>578.45869400000004</v>
      </c>
      <c r="AC17" s="13">
        <v>553.65103299999998</v>
      </c>
      <c r="AD17" s="13">
        <v>542.90533900000003</v>
      </c>
      <c r="AE17" s="13">
        <v>536.23438099999998</v>
      </c>
      <c r="AF17" s="13">
        <v>491.24524700000001</v>
      </c>
      <c r="AG17" s="13">
        <v>472.73838799999999</v>
      </c>
      <c r="AH17" s="13">
        <v>478.49555900000001</v>
      </c>
      <c r="AI17" s="13">
        <v>482.72001899999998</v>
      </c>
      <c r="AJ17" s="13">
        <v>513.68269299999997</v>
      </c>
      <c r="AK17" s="13">
        <v>431.24195700000001</v>
      </c>
      <c r="AL17" s="13">
        <v>398.96546499999999</v>
      </c>
      <c r="AM17" s="13">
        <v>477.683536</v>
      </c>
      <c r="AN17" s="13">
        <v>425.05120099999999</v>
      </c>
      <c r="AO17" s="13">
        <v>484.24608999999998</v>
      </c>
      <c r="AP17" s="13">
        <v>361.43346000000003</v>
      </c>
      <c r="AQ17" s="13">
        <v>403.42581100000001</v>
      </c>
      <c r="AR17" s="13">
        <v>462.77610800000002</v>
      </c>
      <c r="AS17" s="13">
        <v>417.215262</v>
      </c>
      <c r="AT17" s="13">
        <v>377.400825</v>
      </c>
      <c r="AU17" s="13">
        <v>499.56354399999998</v>
      </c>
      <c r="AV17" s="13">
        <v>306.14911599999999</v>
      </c>
      <c r="AW17" s="13">
        <v>321.464315</v>
      </c>
      <c r="AX17" s="13">
        <v>432.20116400000001</v>
      </c>
      <c r="AY17" s="13">
        <v>470.67161700000003</v>
      </c>
      <c r="AZ17" s="13">
        <v>478.14681899999999</v>
      </c>
      <c r="BA17" s="13">
        <v>495.993199</v>
      </c>
    </row>
    <row r="18" spans="1:53" s="47" customFormat="1" x14ac:dyDescent="0.2">
      <c r="A18" s="76" t="s">
        <v>161</v>
      </c>
      <c r="B18" s="13">
        <v>55.201918999999997</v>
      </c>
      <c r="C18" s="13">
        <v>65.568729000000005</v>
      </c>
      <c r="D18" s="13">
        <v>72.084519</v>
      </c>
      <c r="E18" s="13">
        <v>55.353000999999999</v>
      </c>
      <c r="F18" s="13">
        <v>53.829089000000003</v>
      </c>
      <c r="G18" s="13">
        <v>66.250849000000002</v>
      </c>
      <c r="H18" s="13">
        <v>79.009927000000005</v>
      </c>
      <c r="I18" s="13">
        <v>67.052577999999997</v>
      </c>
      <c r="J18" s="13">
        <v>76.739654999999999</v>
      </c>
      <c r="K18" s="13">
        <v>80.965594999999993</v>
      </c>
      <c r="L18" s="13">
        <v>82.120551000000006</v>
      </c>
      <c r="M18" s="13">
        <v>88.326497000000003</v>
      </c>
      <c r="N18" s="13">
        <v>83.260715000000005</v>
      </c>
      <c r="O18" s="13">
        <v>91.602271999999999</v>
      </c>
      <c r="P18" s="13">
        <v>91.663760999999994</v>
      </c>
      <c r="Q18" s="13">
        <v>82.095198999999994</v>
      </c>
      <c r="R18" s="13">
        <v>82.389144000000002</v>
      </c>
      <c r="S18" s="13">
        <v>93.831408999999994</v>
      </c>
      <c r="T18" s="13">
        <v>84.282338999999993</v>
      </c>
      <c r="U18" s="13">
        <v>82.350592000000006</v>
      </c>
      <c r="V18" s="13">
        <v>82.676131999999996</v>
      </c>
      <c r="W18" s="13">
        <v>72.838119000000006</v>
      </c>
      <c r="X18" s="13">
        <v>79.942747999999995</v>
      </c>
      <c r="Y18" s="13">
        <v>86.320554999999999</v>
      </c>
      <c r="Z18" s="13">
        <v>84.651246</v>
      </c>
      <c r="AA18" s="13">
        <v>80.474823000000001</v>
      </c>
      <c r="AB18" s="13">
        <v>62.631357999999999</v>
      </c>
      <c r="AC18" s="13">
        <v>68.230260000000001</v>
      </c>
      <c r="AD18" s="13">
        <v>70.386663999999996</v>
      </c>
      <c r="AE18" s="13">
        <v>83.614441999999997</v>
      </c>
      <c r="AF18" s="13">
        <v>71.699038999999999</v>
      </c>
      <c r="AG18" s="13">
        <v>73.914409000000006</v>
      </c>
      <c r="AH18" s="13">
        <v>86.425876000000002</v>
      </c>
      <c r="AI18" s="13">
        <v>80.734249000000005</v>
      </c>
      <c r="AJ18" s="13">
        <v>79.264927</v>
      </c>
      <c r="AK18" s="13">
        <v>57.530486000000003</v>
      </c>
      <c r="AL18" s="13">
        <v>70.254633999999996</v>
      </c>
      <c r="AM18" s="13">
        <v>76.107881000000006</v>
      </c>
      <c r="AN18" s="13">
        <v>69.994955000000004</v>
      </c>
      <c r="AO18" s="13">
        <v>65.507954999999995</v>
      </c>
      <c r="AP18" s="13">
        <v>60.858950999999998</v>
      </c>
      <c r="AQ18" s="13">
        <v>58.404837999999998</v>
      </c>
      <c r="AR18" s="13">
        <v>51.222126000000003</v>
      </c>
      <c r="AS18" s="13">
        <v>58.835948000000002</v>
      </c>
      <c r="AT18" s="13">
        <v>70.546762999999999</v>
      </c>
      <c r="AU18" s="13">
        <v>68.939205999999999</v>
      </c>
      <c r="AV18" s="13">
        <v>41.099468999999999</v>
      </c>
      <c r="AW18" s="13">
        <v>36.395721000000002</v>
      </c>
      <c r="AX18" s="13">
        <v>66.942818000000003</v>
      </c>
      <c r="AY18" s="13">
        <v>72.000016000000002</v>
      </c>
      <c r="AZ18" s="13">
        <v>72.919152999999994</v>
      </c>
      <c r="BA18" s="13">
        <v>37.412531000000001</v>
      </c>
    </row>
    <row r="19" spans="1:53" s="47" customFormat="1" x14ac:dyDescent="0.2">
      <c r="A19" s="76" t="s">
        <v>163</v>
      </c>
      <c r="B19" s="13">
        <v>343.94643500000001</v>
      </c>
      <c r="C19" s="13">
        <v>379.01766199999997</v>
      </c>
      <c r="D19" s="13">
        <v>373.12196599999999</v>
      </c>
      <c r="E19" s="13">
        <v>356.08078699999999</v>
      </c>
      <c r="F19" s="13">
        <v>317.65357899999998</v>
      </c>
      <c r="G19" s="13">
        <v>255.543035</v>
      </c>
      <c r="H19" s="13">
        <v>296.30601899999999</v>
      </c>
      <c r="I19" s="13">
        <v>332.39675399999999</v>
      </c>
      <c r="J19" s="13">
        <v>342.309594</v>
      </c>
      <c r="K19" s="13">
        <v>332.81167599999998</v>
      </c>
      <c r="L19" s="13">
        <v>282.14815800000002</v>
      </c>
      <c r="M19" s="13">
        <v>367.80800799999997</v>
      </c>
      <c r="N19" s="13">
        <v>331.28129200000001</v>
      </c>
      <c r="O19" s="13">
        <v>360.71871599999997</v>
      </c>
      <c r="P19" s="13">
        <v>378.82486999999998</v>
      </c>
      <c r="Q19" s="13">
        <v>357.54566499999999</v>
      </c>
      <c r="R19" s="13">
        <v>364.41127399999999</v>
      </c>
      <c r="S19" s="13">
        <v>402.38783899999999</v>
      </c>
      <c r="T19" s="13">
        <v>355.00070799999997</v>
      </c>
      <c r="U19" s="13">
        <v>400.60104699999999</v>
      </c>
      <c r="V19" s="13">
        <v>364.95821100000001</v>
      </c>
      <c r="W19" s="13">
        <v>345.95558</v>
      </c>
      <c r="X19" s="13">
        <v>399.94280199999997</v>
      </c>
      <c r="Y19" s="13">
        <v>340.79903999999999</v>
      </c>
      <c r="Z19" s="13">
        <v>287.36921599999999</v>
      </c>
      <c r="AA19" s="13">
        <v>321.41553699999997</v>
      </c>
      <c r="AB19" s="13">
        <v>339.61940800000002</v>
      </c>
      <c r="AC19" s="13">
        <v>294.99262399999998</v>
      </c>
      <c r="AD19" s="13">
        <v>377.46212300000002</v>
      </c>
      <c r="AE19" s="13">
        <v>398.22668499999997</v>
      </c>
      <c r="AF19" s="13">
        <v>311.62570099999999</v>
      </c>
      <c r="AG19" s="13">
        <v>289.78103499999997</v>
      </c>
      <c r="AH19" s="13">
        <v>345.49154199999998</v>
      </c>
      <c r="AI19" s="13">
        <v>389.80361900000003</v>
      </c>
      <c r="AJ19" s="13">
        <v>324.76518900000002</v>
      </c>
      <c r="AK19" s="13">
        <v>396.65567600000003</v>
      </c>
      <c r="AL19" s="13">
        <v>307.02731199999999</v>
      </c>
      <c r="AM19" s="13">
        <v>357.15721600000001</v>
      </c>
      <c r="AN19" s="13">
        <v>369.49276200000003</v>
      </c>
      <c r="AO19" s="13">
        <v>339.83543900000001</v>
      </c>
      <c r="AP19" s="13">
        <v>417.84315600000002</v>
      </c>
      <c r="AQ19" s="13">
        <v>341.77494300000001</v>
      </c>
      <c r="AR19" s="13">
        <v>392.686128</v>
      </c>
      <c r="AS19" s="13">
        <v>319.27890200000002</v>
      </c>
      <c r="AT19" s="13">
        <v>290.67190299999999</v>
      </c>
      <c r="AU19" s="13">
        <v>288.35269799999998</v>
      </c>
      <c r="AV19" s="13">
        <v>167.88045</v>
      </c>
      <c r="AW19" s="13">
        <v>213.97457600000001</v>
      </c>
      <c r="AX19" s="13">
        <v>271.64444500000002</v>
      </c>
      <c r="AY19" s="13">
        <v>341.50551300000001</v>
      </c>
      <c r="AZ19" s="13">
        <v>351.90856100000002</v>
      </c>
      <c r="BA19" s="13">
        <v>351.68923999999998</v>
      </c>
    </row>
    <row r="20" spans="1:53" s="47" customFormat="1" x14ac:dyDescent="0.2">
      <c r="A20" s="77" t="s">
        <v>165</v>
      </c>
      <c r="B20" s="75">
        <v>1044.1345429999999</v>
      </c>
      <c r="C20" s="75">
        <v>1200.2840859999999</v>
      </c>
      <c r="D20" s="75">
        <v>1085.5761620000001</v>
      </c>
      <c r="E20" s="75">
        <v>1063.0187040000001</v>
      </c>
      <c r="F20" s="75">
        <v>989.89114800000004</v>
      </c>
      <c r="G20" s="75">
        <v>1038.6171139999999</v>
      </c>
      <c r="H20" s="75">
        <v>890.77164000000005</v>
      </c>
      <c r="I20" s="75">
        <v>937.02486399999998</v>
      </c>
      <c r="J20" s="75">
        <v>1089.921967</v>
      </c>
      <c r="K20" s="75">
        <v>987.37704299999996</v>
      </c>
      <c r="L20" s="75">
        <v>1253.348747</v>
      </c>
      <c r="M20" s="75">
        <v>1112.837626</v>
      </c>
      <c r="N20" s="75">
        <v>1245.4881660000001</v>
      </c>
      <c r="O20" s="75">
        <v>1326.7045700000001</v>
      </c>
      <c r="P20" s="75">
        <v>1367.7151859999999</v>
      </c>
      <c r="Q20" s="75">
        <v>1292.0153789999999</v>
      </c>
      <c r="R20" s="75">
        <v>1292.681339</v>
      </c>
      <c r="S20" s="75">
        <v>1311.035875</v>
      </c>
      <c r="T20" s="75">
        <v>1024.3108460000001</v>
      </c>
      <c r="U20" s="75">
        <v>1112.5969339999999</v>
      </c>
      <c r="V20" s="75">
        <v>934.44659100000001</v>
      </c>
      <c r="W20" s="75">
        <v>972.16870800000004</v>
      </c>
      <c r="X20" s="75">
        <v>1027.531268</v>
      </c>
      <c r="Y20" s="75">
        <v>1144.9418390000001</v>
      </c>
      <c r="Z20" s="75">
        <v>1020.7220569999999</v>
      </c>
      <c r="AA20" s="75">
        <v>1275.4668059999999</v>
      </c>
      <c r="AB20" s="75">
        <v>895.26253699999995</v>
      </c>
      <c r="AC20" s="75">
        <v>1124.5967869999999</v>
      </c>
      <c r="AD20" s="75">
        <v>978.87673600000005</v>
      </c>
      <c r="AE20" s="75">
        <v>1022.083354</v>
      </c>
      <c r="AF20" s="75">
        <v>805.12939300000005</v>
      </c>
      <c r="AG20" s="75">
        <v>1007.399173</v>
      </c>
      <c r="AH20" s="75">
        <v>834.56429700000001</v>
      </c>
      <c r="AI20" s="75">
        <v>1002.0671620000001</v>
      </c>
      <c r="AJ20" s="75">
        <v>908.89481799999999</v>
      </c>
      <c r="AK20" s="75">
        <v>946.65148299999998</v>
      </c>
      <c r="AL20" s="75">
        <v>928.10693000000003</v>
      </c>
      <c r="AM20" s="75">
        <v>998.32882300000006</v>
      </c>
      <c r="AN20" s="75">
        <v>1018.997752</v>
      </c>
      <c r="AO20" s="75">
        <v>1221.094173</v>
      </c>
      <c r="AP20" s="75">
        <v>977.17323999999996</v>
      </c>
      <c r="AQ20" s="75">
        <v>1167.5031489999999</v>
      </c>
      <c r="AR20" s="75">
        <v>1134.8912359999999</v>
      </c>
      <c r="AS20" s="75">
        <v>1048.4880470000001</v>
      </c>
      <c r="AT20" s="75">
        <v>1202.850772</v>
      </c>
      <c r="AU20" s="75">
        <v>1165.7645809999999</v>
      </c>
      <c r="AV20" s="75">
        <v>781.37356</v>
      </c>
      <c r="AW20" s="75">
        <v>746.05612399999995</v>
      </c>
      <c r="AX20" s="75">
        <v>1171.7298559999999</v>
      </c>
      <c r="AY20" s="75">
        <v>1146.0640900000001</v>
      </c>
      <c r="AZ20" s="75">
        <v>1227.923074</v>
      </c>
      <c r="BA20" s="75">
        <v>888.50449000000003</v>
      </c>
    </row>
    <row r="21" spans="1:53" s="47" customFormat="1" x14ac:dyDescent="0.2">
      <c r="A21" s="76" t="s">
        <v>167</v>
      </c>
      <c r="B21" s="13">
        <v>897.17877599999997</v>
      </c>
      <c r="C21" s="13">
        <v>1227.515662</v>
      </c>
      <c r="D21" s="13">
        <v>1182.624904</v>
      </c>
      <c r="E21" s="13">
        <v>1081.890416</v>
      </c>
      <c r="F21" s="13">
        <v>1003.650752</v>
      </c>
      <c r="G21" s="13">
        <v>1001.455917</v>
      </c>
      <c r="H21" s="13">
        <v>1002.72273</v>
      </c>
      <c r="I21" s="13">
        <v>1028.798722</v>
      </c>
      <c r="J21" s="13">
        <v>1118.5613470000001</v>
      </c>
      <c r="K21" s="13">
        <v>1090.975457</v>
      </c>
      <c r="L21" s="13">
        <v>1140.484567</v>
      </c>
      <c r="M21" s="13">
        <v>1084.3465369999999</v>
      </c>
      <c r="N21" s="13">
        <v>1144.8289810000001</v>
      </c>
      <c r="O21" s="13">
        <v>1132.225936</v>
      </c>
      <c r="P21" s="13">
        <v>1236.541641</v>
      </c>
      <c r="Q21" s="13">
        <v>1085.85456</v>
      </c>
      <c r="R21" s="13">
        <v>1140.1730030000001</v>
      </c>
      <c r="S21" s="13">
        <v>1208.257427</v>
      </c>
      <c r="T21" s="13">
        <v>1115.2209089999999</v>
      </c>
      <c r="U21" s="13">
        <v>1163.6364779999999</v>
      </c>
      <c r="V21" s="13">
        <v>1087.8795580000001</v>
      </c>
      <c r="W21" s="13">
        <v>1143.981008</v>
      </c>
      <c r="X21" s="13">
        <v>1191.910263</v>
      </c>
      <c r="Y21" s="13">
        <v>1150.7511139999999</v>
      </c>
      <c r="Z21" s="13">
        <v>1127.4681780000001</v>
      </c>
      <c r="AA21" s="13">
        <v>1205.197154</v>
      </c>
      <c r="AB21" s="13">
        <v>1097.0084489999999</v>
      </c>
      <c r="AC21" s="13">
        <v>1196.002354</v>
      </c>
      <c r="AD21" s="13">
        <v>1133.7831650000001</v>
      </c>
      <c r="AE21" s="13">
        <v>1136.9962049999999</v>
      </c>
      <c r="AF21" s="13">
        <v>1255.1134480000001</v>
      </c>
      <c r="AG21" s="13">
        <v>1106.8230799999999</v>
      </c>
      <c r="AH21" s="13">
        <v>1238.2568000000001</v>
      </c>
      <c r="AI21" s="13">
        <v>1167.795642</v>
      </c>
      <c r="AJ21" s="13">
        <v>1206.079925</v>
      </c>
      <c r="AK21" s="13">
        <v>1023.978557</v>
      </c>
      <c r="AL21" s="13">
        <v>1214.271733</v>
      </c>
      <c r="AM21" s="13">
        <v>1187.0841230000001</v>
      </c>
      <c r="AN21" s="13">
        <v>1179.2758610000001</v>
      </c>
      <c r="AO21" s="13">
        <v>1196.7822209999999</v>
      </c>
      <c r="AP21" s="13">
        <v>1174.749227</v>
      </c>
      <c r="AQ21" s="13">
        <v>1033.9626860000001</v>
      </c>
      <c r="AR21" s="13">
        <v>1101.2222380000001</v>
      </c>
      <c r="AS21" s="13">
        <v>1042.676336</v>
      </c>
      <c r="AT21" s="13">
        <v>1085.370874</v>
      </c>
      <c r="AU21" s="13">
        <v>1069.35805</v>
      </c>
      <c r="AV21" s="13">
        <v>1009.747984</v>
      </c>
      <c r="AW21" s="13">
        <v>1061.399727</v>
      </c>
      <c r="AX21" s="13">
        <v>1089.9373250000001</v>
      </c>
      <c r="AY21" s="13">
        <v>1191.0803969999999</v>
      </c>
      <c r="AZ21" s="13">
        <v>1114.2437190000001</v>
      </c>
      <c r="BA21" s="13">
        <v>804.61703199999999</v>
      </c>
    </row>
    <row r="22" spans="1:53" s="47" customFormat="1" ht="13.5" thickBot="1" x14ac:dyDescent="0.25">
      <c r="A22" s="78" t="s">
        <v>176</v>
      </c>
      <c r="B22" s="23">
        <v>4494.3780309999993</v>
      </c>
      <c r="C22" s="23">
        <v>5135.2503449999995</v>
      </c>
      <c r="D22" s="23">
        <v>4977.6563960000003</v>
      </c>
      <c r="E22" s="23">
        <v>4597.8577299999997</v>
      </c>
      <c r="F22" s="23">
        <v>4319.7867470000001</v>
      </c>
      <c r="G22" s="23">
        <v>4111.2586529999999</v>
      </c>
      <c r="H22" s="23">
        <v>4077.1903870000001</v>
      </c>
      <c r="I22" s="23">
        <v>4208.3733379999994</v>
      </c>
      <c r="J22" s="23">
        <v>4569.3553579999998</v>
      </c>
      <c r="K22" s="23">
        <v>4466.5017099999995</v>
      </c>
      <c r="L22" s="23">
        <v>4781.9311379999999</v>
      </c>
      <c r="M22" s="23">
        <v>4828.1260419999999</v>
      </c>
      <c r="N22" s="23">
        <v>5048.8773770000007</v>
      </c>
      <c r="O22" s="23">
        <v>5095.567274</v>
      </c>
      <c r="P22" s="23">
        <v>5133.1821579999996</v>
      </c>
      <c r="Q22" s="23">
        <v>4869.9267289999998</v>
      </c>
      <c r="R22" s="23">
        <v>5007.1405260000001</v>
      </c>
      <c r="S22" s="23">
        <v>5140.716265</v>
      </c>
      <c r="T22" s="23">
        <v>4739.5142089999999</v>
      </c>
      <c r="U22" s="23">
        <v>4959.5249230000009</v>
      </c>
      <c r="V22" s="23">
        <v>4727.2180370000005</v>
      </c>
      <c r="W22" s="23">
        <v>4647.4386429999995</v>
      </c>
      <c r="X22" s="23">
        <v>4964.6454809999996</v>
      </c>
      <c r="Y22" s="23">
        <v>5009.6304559999999</v>
      </c>
      <c r="Z22" s="23">
        <v>4791.334965</v>
      </c>
      <c r="AA22" s="23">
        <v>5219.8893250000001</v>
      </c>
      <c r="AB22" s="23">
        <v>4570.8988790000003</v>
      </c>
      <c r="AC22" s="23">
        <v>4920.7748229999997</v>
      </c>
      <c r="AD22" s="23">
        <v>4740.9738880000004</v>
      </c>
      <c r="AE22" s="23">
        <v>4793.5986529999991</v>
      </c>
      <c r="AF22" s="23">
        <v>4444.2040010000001</v>
      </c>
      <c r="AG22" s="23">
        <v>4578.0730459999995</v>
      </c>
      <c r="AH22" s="23">
        <v>4568.7844589999995</v>
      </c>
      <c r="AI22" s="23">
        <v>4743.8492990000004</v>
      </c>
      <c r="AJ22" s="23">
        <v>4570.7194840000002</v>
      </c>
      <c r="AK22" s="23">
        <v>4396.1246300000003</v>
      </c>
      <c r="AL22" s="23">
        <v>4433.4607459999997</v>
      </c>
      <c r="AM22" s="23">
        <v>4770.3360069999999</v>
      </c>
      <c r="AN22" s="23">
        <v>4613.0454479999999</v>
      </c>
      <c r="AO22" s="23">
        <v>4706.8484069999995</v>
      </c>
      <c r="AP22" s="23">
        <v>4422.5769950000004</v>
      </c>
      <c r="AQ22" s="23">
        <v>4458.7158229999995</v>
      </c>
      <c r="AR22" s="23">
        <v>4716.3040899999996</v>
      </c>
      <c r="AS22" s="23">
        <v>4410.2319769999995</v>
      </c>
      <c r="AT22" s="23">
        <v>4540.2382790000001</v>
      </c>
      <c r="AU22" s="23">
        <v>4702.006942</v>
      </c>
      <c r="AV22" s="23">
        <v>3199.9467990000003</v>
      </c>
      <c r="AW22" s="23">
        <v>3403.1504660000001</v>
      </c>
      <c r="AX22" s="23">
        <v>4778.8713769999995</v>
      </c>
      <c r="AY22" s="23">
        <v>4895.9988489999996</v>
      </c>
      <c r="AZ22" s="23">
        <v>4842.6146610000005</v>
      </c>
      <c r="BA22" s="23">
        <v>3912.6530840000005</v>
      </c>
    </row>
    <row r="23" spans="1:53" s="47" customFormat="1" ht="13.5" thickTop="1" x14ac:dyDescent="0.2"/>
    <row r="24" spans="1:53" s="47" customFormat="1" x14ac:dyDescent="0.2"/>
    <row r="25" spans="1:53" s="47" customFormat="1" x14ac:dyDescent="0.2"/>
    <row r="26" spans="1:53" s="47" customFormat="1" x14ac:dyDescent="0.2"/>
    <row r="27" spans="1:53" s="47" customFormat="1" x14ac:dyDescent="0.2"/>
    <row r="28" spans="1:53" s="47" customFormat="1" x14ac:dyDescent="0.2"/>
    <row r="29" spans="1:53" s="47" customFormat="1" x14ac:dyDescent="0.2"/>
    <row r="30" spans="1:53" s="47" customFormat="1" x14ac:dyDescent="0.2"/>
    <row r="31" spans="1:53" s="47" customFormat="1" x14ac:dyDescent="0.2"/>
    <row r="32" spans="1:53" s="47" customFormat="1" x14ac:dyDescent="0.2"/>
    <row r="33" s="47" customFormat="1" x14ac:dyDescent="0.2"/>
    <row r="34" s="47" customFormat="1" x14ac:dyDescent="0.2"/>
    <row r="35" s="47" customFormat="1" x14ac:dyDescent="0.2"/>
    <row r="36" s="47" customFormat="1" x14ac:dyDescent="0.2"/>
    <row r="37" s="47" customFormat="1" x14ac:dyDescent="0.2"/>
    <row r="38" s="47" customFormat="1" x14ac:dyDescent="0.2"/>
    <row r="39" s="47" customFormat="1" x14ac:dyDescent="0.2"/>
    <row r="40" s="47" customFormat="1" x14ac:dyDescent="0.2"/>
    <row r="41" s="47" customFormat="1" x14ac:dyDescent="0.2"/>
    <row r="42" s="47" customFormat="1" x14ac:dyDescent="0.2"/>
    <row r="43" s="47" customFormat="1" x14ac:dyDescent="0.2"/>
    <row r="44" s="47" customFormat="1" x14ac:dyDescent="0.2"/>
    <row r="45" s="47" customFormat="1" x14ac:dyDescent="0.2"/>
    <row r="46" s="47" customFormat="1" x14ac:dyDescent="0.2"/>
    <row r="47" s="47" customFormat="1" x14ac:dyDescent="0.2"/>
    <row r="48" s="47" customFormat="1" x14ac:dyDescent="0.2"/>
    <row r="49" s="47" customFormat="1" x14ac:dyDescent="0.2"/>
    <row r="50" s="47" customFormat="1" x14ac:dyDescent="0.2"/>
    <row r="51" s="47" customFormat="1" x14ac:dyDescent="0.2"/>
    <row r="52" s="47" customFormat="1" x14ac:dyDescent="0.2"/>
    <row r="53" s="47" customFormat="1" x14ac:dyDescent="0.2"/>
    <row r="54" s="47" customFormat="1" x14ac:dyDescent="0.2"/>
  </sheetData>
  <sheetProtection algorithmName="SHA-512" hashValue="V4+7VvdvmAUT4Vx4yMayQI1GXJG0+m3GsrbCdVo8gafMV8jj6uYTFyszO4cpZTySdY1ToWT+EbHrYjvWOfsvIw==" saltValue="X/aVrHSPD7PkIl7AeZebaA==" spinCount="100000" sheet="1" objects="1" scenarios="1"/>
  <mergeCells count="1">
    <mergeCell ref="A1:BA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AA13C-1725-44A0-AEB5-26224AA1F9A2}">
  <sheetPr codeName="Sheet23">
    <tabColor rgb="FF92D050"/>
  </sheetPr>
  <dimension ref="A1:BB54"/>
  <sheetViews>
    <sheetView workbookViewId="0">
      <selection activeCell="C22" sqref="C22"/>
    </sheetView>
  </sheetViews>
  <sheetFormatPr defaultColWidth="6.7109375" defaultRowHeight="12.75" x14ac:dyDescent="0.2"/>
  <cols>
    <col min="1" max="1" width="50.42578125" style="42" bestFit="1" customWidth="1"/>
    <col min="2" max="2" width="9.42578125" style="43" customWidth="1"/>
    <col min="3" max="52" width="9.42578125" style="42" customWidth="1"/>
    <col min="53" max="53" width="9" style="42" customWidth="1"/>
    <col min="54" max="16384" width="6.7109375" style="42"/>
  </cols>
  <sheetData>
    <row r="1" spans="1:54" ht="23.25" x14ac:dyDescent="0.35">
      <c r="A1" s="145" t="s">
        <v>230</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c r="AE1" s="145"/>
      <c r="AF1" s="145"/>
      <c r="AG1" s="145"/>
      <c r="AH1" s="145"/>
      <c r="AI1" s="145"/>
      <c r="AJ1" s="145"/>
      <c r="AK1" s="145"/>
      <c r="AL1" s="145"/>
      <c r="AM1" s="145"/>
      <c r="AN1" s="145"/>
      <c r="AO1" s="145"/>
      <c r="AP1" s="145"/>
      <c r="AQ1" s="145"/>
      <c r="AR1" s="145"/>
      <c r="AS1" s="145"/>
      <c r="AT1" s="145"/>
      <c r="AU1" s="145"/>
      <c r="AV1" s="145"/>
      <c r="AW1" s="145"/>
      <c r="AX1" s="145"/>
      <c r="AY1" s="145"/>
      <c r="AZ1" s="145"/>
      <c r="BA1" s="145"/>
    </row>
    <row r="2" spans="1:54" ht="13.5" thickBot="1" x14ac:dyDescent="0.25">
      <c r="A2" s="7" t="s">
        <v>223</v>
      </c>
      <c r="B2" s="5">
        <v>1</v>
      </c>
      <c r="C2" s="5">
        <v>2</v>
      </c>
      <c r="D2" s="5">
        <v>3</v>
      </c>
      <c r="E2" s="5">
        <v>4</v>
      </c>
      <c r="F2" s="5">
        <v>5</v>
      </c>
      <c r="G2" s="5">
        <v>6</v>
      </c>
      <c r="H2" s="5">
        <v>7</v>
      </c>
      <c r="I2" s="5">
        <v>8</v>
      </c>
      <c r="J2" s="5">
        <v>9</v>
      </c>
      <c r="K2" s="5">
        <v>10</v>
      </c>
      <c r="L2" s="5">
        <v>11</v>
      </c>
      <c r="M2" s="5">
        <v>12</v>
      </c>
      <c r="N2" s="5">
        <v>13</v>
      </c>
      <c r="O2" s="5">
        <v>14</v>
      </c>
      <c r="P2" s="5">
        <v>15</v>
      </c>
      <c r="Q2" s="5">
        <v>16</v>
      </c>
      <c r="R2" s="5">
        <v>17</v>
      </c>
      <c r="S2" s="5">
        <v>18</v>
      </c>
      <c r="T2" s="5">
        <v>19</v>
      </c>
      <c r="U2" s="5">
        <v>20</v>
      </c>
      <c r="V2" s="5">
        <v>21</v>
      </c>
      <c r="W2" s="5">
        <v>22</v>
      </c>
      <c r="X2" s="5">
        <v>23</v>
      </c>
      <c r="Y2" s="5">
        <v>24</v>
      </c>
      <c r="Z2" s="5">
        <v>25</v>
      </c>
      <c r="AA2" s="5">
        <v>26</v>
      </c>
      <c r="AB2" s="5">
        <v>27</v>
      </c>
      <c r="AC2" s="5">
        <v>28</v>
      </c>
      <c r="AD2" s="5">
        <v>29</v>
      </c>
      <c r="AE2" s="5">
        <v>30</v>
      </c>
      <c r="AF2" s="5">
        <v>31</v>
      </c>
      <c r="AG2" s="5">
        <v>32</v>
      </c>
      <c r="AH2" s="5">
        <v>33</v>
      </c>
      <c r="AI2" s="5">
        <v>34</v>
      </c>
      <c r="AJ2" s="5">
        <v>35</v>
      </c>
      <c r="AK2" s="5">
        <v>36</v>
      </c>
      <c r="AL2" s="5">
        <v>37</v>
      </c>
      <c r="AM2" s="5">
        <v>38</v>
      </c>
      <c r="AN2" s="5">
        <v>39</v>
      </c>
      <c r="AO2" s="5">
        <v>40</v>
      </c>
      <c r="AP2" s="5">
        <v>41</v>
      </c>
      <c r="AQ2" s="5">
        <v>42</v>
      </c>
      <c r="AR2" s="5">
        <v>43</v>
      </c>
      <c r="AS2" s="5">
        <v>44</v>
      </c>
      <c r="AT2" s="5">
        <v>45</v>
      </c>
      <c r="AU2" s="5">
        <v>46</v>
      </c>
      <c r="AV2" s="5">
        <v>47</v>
      </c>
      <c r="AW2" s="5">
        <v>48</v>
      </c>
      <c r="AX2" s="5">
        <v>49</v>
      </c>
      <c r="AY2" s="5">
        <v>50</v>
      </c>
      <c r="AZ2" s="5">
        <v>51</v>
      </c>
      <c r="BA2" s="5">
        <v>52</v>
      </c>
    </row>
    <row r="3" spans="1:54" s="45" customFormat="1" ht="24.75" thickBot="1" x14ac:dyDescent="0.25">
      <c r="A3" s="50" t="s">
        <v>179</v>
      </c>
      <c r="B3" s="51">
        <v>43100</v>
      </c>
      <c r="C3" s="51">
        <v>43107</v>
      </c>
      <c r="D3" s="51">
        <v>43114</v>
      </c>
      <c r="E3" s="51">
        <v>43121</v>
      </c>
      <c r="F3" s="51">
        <v>43128</v>
      </c>
      <c r="G3" s="51">
        <v>43135</v>
      </c>
      <c r="H3" s="51">
        <v>43142</v>
      </c>
      <c r="I3" s="51">
        <v>43149</v>
      </c>
      <c r="J3" s="51">
        <v>43156</v>
      </c>
      <c r="K3" s="51">
        <v>43163</v>
      </c>
      <c r="L3" s="51">
        <v>43170</v>
      </c>
      <c r="M3" s="51">
        <v>43177</v>
      </c>
      <c r="N3" s="51">
        <v>43184</v>
      </c>
      <c r="O3" s="51">
        <v>43191</v>
      </c>
      <c r="P3" s="51">
        <v>43198</v>
      </c>
      <c r="Q3" s="51">
        <v>43205</v>
      </c>
      <c r="R3" s="51">
        <v>43212</v>
      </c>
      <c r="S3" s="51">
        <v>43219</v>
      </c>
      <c r="T3" s="51">
        <v>43226</v>
      </c>
      <c r="U3" s="51">
        <v>43233</v>
      </c>
      <c r="V3" s="51">
        <v>43240</v>
      </c>
      <c r="W3" s="51">
        <v>43247</v>
      </c>
      <c r="X3" s="51">
        <v>43254</v>
      </c>
      <c r="Y3" s="51">
        <v>43261</v>
      </c>
      <c r="Z3" s="51">
        <v>43268</v>
      </c>
      <c r="AA3" s="51">
        <v>43275</v>
      </c>
      <c r="AB3" s="51">
        <v>43282</v>
      </c>
      <c r="AC3" s="51">
        <v>43289</v>
      </c>
      <c r="AD3" s="51">
        <v>43296</v>
      </c>
      <c r="AE3" s="51">
        <v>43303</v>
      </c>
      <c r="AF3" s="51">
        <v>43310</v>
      </c>
      <c r="AG3" s="51">
        <v>43317</v>
      </c>
      <c r="AH3" s="51">
        <v>43324</v>
      </c>
      <c r="AI3" s="51">
        <v>43331</v>
      </c>
      <c r="AJ3" s="51">
        <v>43338</v>
      </c>
      <c r="AK3" s="51">
        <v>43345</v>
      </c>
      <c r="AL3" s="51">
        <v>43352</v>
      </c>
      <c r="AM3" s="51">
        <v>43359</v>
      </c>
      <c r="AN3" s="51">
        <v>43366</v>
      </c>
      <c r="AO3" s="51">
        <v>43373</v>
      </c>
      <c r="AP3" s="51">
        <v>43380</v>
      </c>
      <c r="AQ3" s="51">
        <v>43387</v>
      </c>
      <c r="AR3" s="51">
        <v>43394</v>
      </c>
      <c r="AS3" s="51">
        <v>43401</v>
      </c>
      <c r="AT3" s="51">
        <v>43408</v>
      </c>
      <c r="AU3" s="51">
        <v>43415</v>
      </c>
      <c r="AV3" s="51">
        <v>43422</v>
      </c>
      <c r="AW3" s="51">
        <v>43429</v>
      </c>
      <c r="AX3" s="51">
        <v>43436</v>
      </c>
      <c r="AY3" s="51">
        <v>43443</v>
      </c>
      <c r="AZ3" s="51">
        <v>43450</v>
      </c>
      <c r="BA3" s="51">
        <v>43457</v>
      </c>
      <c r="BB3" s="52"/>
    </row>
    <row r="4" spans="1:54" s="47" customFormat="1" x14ac:dyDescent="0.2">
      <c r="A4" s="73" t="s">
        <v>173</v>
      </c>
    </row>
    <row r="5" spans="1:54" s="47" customFormat="1" x14ac:dyDescent="0.2">
      <c r="A5" s="74" t="s">
        <v>155</v>
      </c>
      <c r="B5" s="75">
        <v>6819</v>
      </c>
      <c r="C5" s="75">
        <v>7749</v>
      </c>
      <c r="D5" s="75">
        <v>7615</v>
      </c>
      <c r="E5" s="75">
        <v>8115</v>
      </c>
      <c r="F5" s="75">
        <v>7905</v>
      </c>
      <c r="G5" s="75">
        <v>7051</v>
      </c>
      <c r="H5" s="75">
        <v>7107</v>
      </c>
      <c r="I5" s="75">
        <v>8013</v>
      </c>
      <c r="J5" s="75">
        <v>7680</v>
      </c>
      <c r="K5" s="75">
        <v>7700</v>
      </c>
      <c r="L5" s="75">
        <v>7987</v>
      </c>
      <c r="M5" s="75">
        <v>8357</v>
      </c>
      <c r="N5" s="75">
        <v>8235</v>
      </c>
      <c r="O5" s="75">
        <v>7972</v>
      </c>
      <c r="P5" s="75">
        <v>8577</v>
      </c>
      <c r="Q5" s="75">
        <v>8348</v>
      </c>
      <c r="R5" s="75">
        <v>8539</v>
      </c>
      <c r="S5" s="75">
        <v>8769</v>
      </c>
      <c r="T5" s="75">
        <v>8489</v>
      </c>
      <c r="U5" s="75">
        <v>8223</v>
      </c>
      <c r="V5" s="75">
        <v>8614</v>
      </c>
      <c r="W5" s="75">
        <v>8760</v>
      </c>
      <c r="X5" s="75">
        <v>8529</v>
      </c>
      <c r="Y5" s="75">
        <v>8259</v>
      </c>
      <c r="Z5" s="75">
        <v>7771</v>
      </c>
      <c r="AA5" s="75">
        <v>8187</v>
      </c>
      <c r="AB5" s="75">
        <v>7883</v>
      </c>
      <c r="AC5" s="75">
        <v>8187</v>
      </c>
      <c r="AD5" s="75">
        <v>8009</v>
      </c>
      <c r="AE5" s="75">
        <v>8263</v>
      </c>
      <c r="AF5" s="75">
        <v>8649</v>
      </c>
      <c r="AG5" s="75">
        <v>8140</v>
      </c>
      <c r="AH5" s="75">
        <v>8515</v>
      </c>
      <c r="AI5" s="75">
        <v>8262</v>
      </c>
      <c r="AJ5" s="75">
        <v>8568</v>
      </c>
      <c r="AK5" s="75">
        <v>8129</v>
      </c>
      <c r="AL5" s="75">
        <v>8366</v>
      </c>
      <c r="AM5" s="75">
        <v>8455</v>
      </c>
      <c r="AN5" s="75">
        <v>8433</v>
      </c>
      <c r="AO5" s="75">
        <v>8156</v>
      </c>
      <c r="AP5" s="75">
        <v>7842</v>
      </c>
      <c r="AQ5" s="75">
        <v>7801</v>
      </c>
      <c r="AR5" s="75">
        <v>8200</v>
      </c>
      <c r="AS5" s="75">
        <v>8155</v>
      </c>
      <c r="AT5" s="75">
        <v>7631</v>
      </c>
      <c r="AU5" s="75">
        <v>7654</v>
      </c>
      <c r="AV5" s="75">
        <v>7851</v>
      </c>
      <c r="AW5" s="75">
        <v>7861</v>
      </c>
      <c r="AX5" s="75">
        <v>7853</v>
      </c>
      <c r="AY5" s="75">
        <v>7800</v>
      </c>
      <c r="AZ5" s="75">
        <v>7983</v>
      </c>
      <c r="BA5" s="75">
        <v>5334</v>
      </c>
    </row>
    <row r="6" spans="1:54" s="47" customFormat="1" x14ac:dyDescent="0.2">
      <c r="A6" s="76" t="s">
        <v>157</v>
      </c>
      <c r="B6" s="13">
        <v>11075</v>
      </c>
      <c r="C6" s="13">
        <v>11987</v>
      </c>
      <c r="D6" s="13">
        <v>11784</v>
      </c>
      <c r="E6" s="13">
        <v>12479</v>
      </c>
      <c r="F6" s="13">
        <v>11885</v>
      </c>
      <c r="G6" s="13">
        <v>11532</v>
      </c>
      <c r="H6" s="13">
        <v>11598</v>
      </c>
      <c r="I6" s="13">
        <v>11589</v>
      </c>
      <c r="J6" s="13">
        <v>12506</v>
      </c>
      <c r="K6" s="13">
        <v>11763</v>
      </c>
      <c r="L6" s="13">
        <v>11846</v>
      </c>
      <c r="M6" s="13">
        <v>12370</v>
      </c>
      <c r="N6" s="13">
        <v>11780</v>
      </c>
      <c r="O6" s="13">
        <v>12333</v>
      </c>
      <c r="P6" s="13">
        <v>11941</v>
      </c>
      <c r="Q6" s="13">
        <v>11947</v>
      </c>
      <c r="R6" s="13">
        <v>12197</v>
      </c>
      <c r="S6" s="13">
        <v>11724</v>
      </c>
      <c r="T6" s="13">
        <v>11755</v>
      </c>
      <c r="U6" s="13">
        <v>11644</v>
      </c>
      <c r="V6" s="13">
        <v>11531</v>
      </c>
      <c r="W6" s="13">
        <v>11943</v>
      </c>
      <c r="X6" s="13">
        <v>12473</v>
      </c>
      <c r="Y6" s="13">
        <v>12207</v>
      </c>
      <c r="Z6" s="13">
        <v>11998</v>
      </c>
      <c r="AA6" s="13">
        <v>11906</v>
      </c>
      <c r="AB6" s="13">
        <v>11883</v>
      </c>
      <c r="AC6" s="13">
        <v>11662</v>
      </c>
      <c r="AD6" s="13">
        <v>11726</v>
      </c>
      <c r="AE6" s="13">
        <v>12348</v>
      </c>
      <c r="AF6" s="13">
        <v>11886</v>
      </c>
      <c r="AG6" s="13">
        <v>12202</v>
      </c>
      <c r="AH6" s="13">
        <v>12096</v>
      </c>
      <c r="AI6" s="13">
        <v>12033</v>
      </c>
      <c r="AJ6" s="13">
        <v>12636</v>
      </c>
      <c r="AK6" s="13">
        <v>12411</v>
      </c>
      <c r="AL6" s="13">
        <v>12702</v>
      </c>
      <c r="AM6" s="13">
        <v>12404</v>
      </c>
      <c r="AN6" s="13">
        <v>12593</v>
      </c>
      <c r="AO6" s="13">
        <v>12769</v>
      </c>
      <c r="AP6" s="13">
        <v>13363</v>
      </c>
      <c r="AQ6" s="13">
        <v>13712</v>
      </c>
      <c r="AR6" s="13">
        <v>13582</v>
      </c>
      <c r="AS6" s="13">
        <v>13436</v>
      </c>
      <c r="AT6" s="13">
        <v>14188</v>
      </c>
      <c r="AU6" s="13">
        <v>14511</v>
      </c>
      <c r="AV6" s="13">
        <v>13917</v>
      </c>
      <c r="AW6" s="13">
        <v>15081</v>
      </c>
      <c r="AX6" s="13">
        <v>14361</v>
      </c>
      <c r="AY6" s="13">
        <v>14669</v>
      </c>
      <c r="AZ6" s="13">
        <v>15031</v>
      </c>
      <c r="BA6" s="13">
        <v>12729</v>
      </c>
    </row>
    <row r="7" spans="1:54" s="47" customFormat="1" x14ac:dyDescent="0.2">
      <c r="A7" s="76" t="s">
        <v>159</v>
      </c>
      <c r="B7" s="13">
        <v>16115</v>
      </c>
      <c r="C7" s="13">
        <v>17338</v>
      </c>
      <c r="D7" s="13">
        <v>17420</v>
      </c>
      <c r="E7" s="13">
        <v>19800</v>
      </c>
      <c r="F7" s="13">
        <v>20387</v>
      </c>
      <c r="G7" s="13">
        <v>18739</v>
      </c>
      <c r="H7" s="13">
        <v>17145</v>
      </c>
      <c r="I7" s="13">
        <v>19908</v>
      </c>
      <c r="J7" s="13">
        <v>19913</v>
      </c>
      <c r="K7" s="13">
        <v>20261</v>
      </c>
      <c r="L7" s="13">
        <v>19453</v>
      </c>
      <c r="M7" s="13">
        <v>21074</v>
      </c>
      <c r="N7" s="13">
        <v>20362</v>
      </c>
      <c r="O7" s="13">
        <v>19857</v>
      </c>
      <c r="P7" s="13">
        <v>19560</v>
      </c>
      <c r="Q7" s="13">
        <v>18602</v>
      </c>
      <c r="R7" s="13">
        <v>19996</v>
      </c>
      <c r="S7" s="13">
        <v>19855</v>
      </c>
      <c r="T7" s="13">
        <v>20377</v>
      </c>
      <c r="U7" s="13">
        <v>20937</v>
      </c>
      <c r="V7" s="13">
        <v>21228</v>
      </c>
      <c r="W7" s="13">
        <v>22175</v>
      </c>
      <c r="X7" s="13">
        <v>19637</v>
      </c>
      <c r="Y7" s="13">
        <v>21289</v>
      </c>
      <c r="Z7" s="13">
        <v>21058</v>
      </c>
      <c r="AA7" s="13">
        <v>22211</v>
      </c>
      <c r="AB7" s="13">
        <v>20450</v>
      </c>
      <c r="AC7" s="13">
        <v>21284</v>
      </c>
      <c r="AD7" s="13">
        <v>21515</v>
      </c>
      <c r="AE7" s="13">
        <v>21747</v>
      </c>
      <c r="AF7" s="13">
        <v>21952</v>
      </c>
      <c r="AG7" s="13">
        <v>20369</v>
      </c>
      <c r="AH7" s="13">
        <v>21114</v>
      </c>
      <c r="AI7" s="13">
        <v>20933</v>
      </c>
      <c r="AJ7" s="13">
        <v>21644</v>
      </c>
      <c r="AK7" s="13">
        <v>19051</v>
      </c>
      <c r="AL7" s="13">
        <v>16918</v>
      </c>
      <c r="AM7" s="13">
        <v>20513</v>
      </c>
      <c r="AN7" s="13">
        <v>21101</v>
      </c>
      <c r="AO7" s="13">
        <v>20337</v>
      </c>
      <c r="AP7" s="13">
        <v>20717</v>
      </c>
      <c r="AQ7" s="13">
        <v>20503</v>
      </c>
      <c r="AR7" s="13">
        <v>22265</v>
      </c>
      <c r="AS7" s="13">
        <v>20579</v>
      </c>
      <c r="AT7" s="13">
        <v>20470</v>
      </c>
      <c r="AU7" s="13">
        <v>19063</v>
      </c>
      <c r="AV7" s="13">
        <v>19214</v>
      </c>
      <c r="AW7" s="13">
        <v>18757</v>
      </c>
      <c r="AX7" s="13">
        <v>17549</v>
      </c>
      <c r="AY7" s="13">
        <v>18038</v>
      </c>
      <c r="AZ7" s="13">
        <v>20563</v>
      </c>
      <c r="BA7" s="13">
        <v>16661</v>
      </c>
    </row>
    <row r="8" spans="1:54" s="47" customFormat="1" x14ac:dyDescent="0.2">
      <c r="A8" s="76" t="s">
        <v>161</v>
      </c>
      <c r="B8" s="13">
        <v>3397</v>
      </c>
      <c r="C8" s="13">
        <v>4272</v>
      </c>
      <c r="D8" s="13">
        <v>4184</v>
      </c>
      <c r="E8" s="13">
        <v>4894</v>
      </c>
      <c r="F8" s="13">
        <v>4902</v>
      </c>
      <c r="G8" s="13">
        <v>4270</v>
      </c>
      <c r="H8" s="13">
        <v>5192</v>
      </c>
      <c r="I8" s="13">
        <v>5586</v>
      </c>
      <c r="J8" s="13">
        <v>5421</v>
      </c>
      <c r="K8" s="13">
        <v>5099</v>
      </c>
      <c r="L8" s="13">
        <v>5811</v>
      </c>
      <c r="M8" s="13">
        <v>5794</v>
      </c>
      <c r="N8" s="13">
        <v>5380</v>
      </c>
      <c r="O8" s="13">
        <v>5493</v>
      </c>
      <c r="P8" s="13">
        <v>5632</v>
      </c>
      <c r="Q8" s="13">
        <v>5544</v>
      </c>
      <c r="R8" s="13">
        <v>5917</v>
      </c>
      <c r="S8" s="13">
        <v>5683</v>
      </c>
      <c r="T8" s="13">
        <v>5633</v>
      </c>
      <c r="U8" s="13">
        <v>5532</v>
      </c>
      <c r="V8" s="13">
        <v>5135</v>
      </c>
      <c r="W8" s="13">
        <v>5041</v>
      </c>
      <c r="X8" s="13">
        <v>5482</v>
      </c>
      <c r="Y8" s="13">
        <v>5898</v>
      </c>
      <c r="Z8" s="13">
        <v>5505</v>
      </c>
      <c r="AA8" s="13">
        <v>5531</v>
      </c>
      <c r="AB8" s="13">
        <v>3988</v>
      </c>
      <c r="AC8" s="13">
        <v>4326</v>
      </c>
      <c r="AD8" s="13">
        <v>4658</v>
      </c>
      <c r="AE8" s="13">
        <v>4923</v>
      </c>
      <c r="AF8" s="13">
        <v>4803</v>
      </c>
      <c r="AG8" s="13">
        <v>4599</v>
      </c>
      <c r="AH8" s="13">
        <v>4901</v>
      </c>
      <c r="AI8" s="13">
        <v>4931</v>
      </c>
      <c r="AJ8" s="13">
        <v>4827</v>
      </c>
      <c r="AK8" s="13">
        <v>4389</v>
      </c>
      <c r="AL8" s="13">
        <v>4656</v>
      </c>
      <c r="AM8" s="13">
        <v>4753</v>
      </c>
      <c r="AN8" s="13">
        <v>5022</v>
      </c>
      <c r="AO8" s="13">
        <v>4984</v>
      </c>
      <c r="AP8" s="13">
        <v>4841</v>
      </c>
      <c r="AQ8" s="13">
        <v>5286</v>
      </c>
      <c r="AR8" s="13">
        <v>5184</v>
      </c>
      <c r="AS8" s="13">
        <v>4847</v>
      </c>
      <c r="AT8" s="13">
        <v>5160</v>
      </c>
      <c r="AU8" s="13">
        <v>5065</v>
      </c>
      <c r="AV8" s="13">
        <v>5178</v>
      </c>
      <c r="AW8" s="13">
        <v>5645</v>
      </c>
      <c r="AX8" s="13">
        <v>5239</v>
      </c>
      <c r="AY8" s="13">
        <v>5902</v>
      </c>
      <c r="AZ8" s="13">
        <v>4964</v>
      </c>
      <c r="BA8" s="13">
        <v>3060</v>
      </c>
    </row>
    <row r="9" spans="1:54" s="47" customFormat="1" x14ac:dyDescent="0.2">
      <c r="A9" s="76" t="s">
        <v>163</v>
      </c>
      <c r="B9" s="13">
        <v>5997</v>
      </c>
      <c r="C9" s="13">
        <v>7205</v>
      </c>
      <c r="D9" s="13">
        <v>5762</v>
      </c>
      <c r="E9" s="13">
        <v>6403</v>
      </c>
      <c r="F9" s="13">
        <v>6964</v>
      </c>
      <c r="G9" s="13">
        <v>5901</v>
      </c>
      <c r="H9" s="13">
        <v>4925</v>
      </c>
      <c r="I9" s="13">
        <v>5249</v>
      </c>
      <c r="J9" s="13">
        <v>6091</v>
      </c>
      <c r="K9" s="13">
        <v>7678</v>
      </c>
      <c r="L9" s="13">
        <v>5755</v>
      </c>
      <c r="M9" s="13">
        <v>6125</v>
      </c>
      <c r="N9" s="13">
        <v>6570</v>
      </c>
      <c r="O9" s="13">
        <v>7680</v>
      </c>
      <c r="P9" s="13">
        <v>7765</v>
      </c>
      <c r="Q9" s="13">
        <v>7114</v>
      </c>
      <c r="R9" s="13">
        <v>7469</v>
      </c>
      <c r="S9" s="13">
        <v>6483</v>
      </c>
      <c r="T9" s="13">
        <v>6824</v>
      </c>
      <c r="U9" s="13">
        <v>6166</v>
      </c>
      <c r="V9" s="13">
        <v>5254</v>
      </c>
      <c r="W9" s="13">
        <v>6042</v>
      </c>
      <c r="X9" s="13">
        <v>5801</v>
      </c>
      <c r="Y9" s="13">
        <v>6987</v>
      </c>
      <c r="Z9" s="13">
        <v>5828</v>
      </c>
      <c r="AA9" s="13">
        <v>6474</v>
      </c>
      <c r="AB9" s="13">
        <v>5503</v>
      </c>
      <c r="AC9" s="13">
        <v>5621</v>
      </c>
      <c r="AD9" s="13">
        <v>5996</v>
      </c>
      <c r="AE9" s="13">
        <v>6718</v>
      </c>
      <c r="AF9" s="13">
        <v>6634</v>
      </c>
      <c r="AG9" s="13">
        <v>6411</v>
      </c>
      <c r="AH9" s="13">
        <v>6658</v>
      </c>
      <c r="AI9" s="13">
        <v>6852</v>
      </c>
      <c r="AJ9" s="13">
        <v>6835</v>
      </c>
      <c r="AK9" s="13">
        <v>6836</v>
      </c>
      <c r="AL9" s="13">
        <v>6897</v>
      </c>
      <c r="AM9" s="13">
        <v>6373</v>
      </c>
      <c r="AN9" s="13">
        <v>7486</v>
      </c>
      <c r="AO9" s="13">
        <v>7285</v>
      </c>
      <c r="AP9" s="13">
        <v>6244</v>
      </c>
      <c r="AQ9" s="13">
        <v>7163</v>
      </c>
      <c r="AR9" s="13">
        <v>7588</v>
      </c>
      <c r="AS9" s="13">
        <v>8089</v>
      </c>
      <c r="AT9" s="13">
        <v>7454</v>
      </c>
      <c r="AU9" s="13">
        <v>7278</v>
      </c>
      <c r="AV9" s="13">
        <v>6803</v>
      </c>
      <c r="AW9" s="13">
        <v>7118</v>
      </c>
      <c r="AX9" s="13">
        <v>7931</v>
      </c>
      <c r="AY9" s="13">
        <v>6630</v>
      </c>
      <c r="AZ9" s="13">
        <v>7349</v>
      </c>
      <c r="BA9" s="13">
        <v>6690</v>
      </c>
    </row>
    <row r="10" spans="1:54" s="47" customFormat="1" x14ac:dyDescent="0.2">
      <c r="A10" s="77" t="s">
        <v>165</v>
      </c>
      <c r="B10" s="75">
        <v>9882</v>
      </c>
      <c r="C10" s="75">
        <v>10861</v>
      </c>
      <c r="D10" s="75">
        <v>11869</v>
      </c>
      <c r="E10" s="75">
        <v>11374</v>
      </c>
      <c r="F10" s="75">
        <v>11005</v>
      </c>
      <c r="G10" s="75">
        <v>9916</v>
      </c>
      <c r="H10" s="75">
        <v>9605</v>
      </c>
      <c r="I10" s="75">
        <v>10135</v>
      </c>
      <c r="J10" s="75">
        <v>12391</v>
      </c>
      <c r="K10" s="75">
        <v>11742</v>
      </c>
      <c r="L10" s="75">
        <v>11931</v>
      </c>
      <c r="M10" s="75">
        <v>12126</v>
      </c>
      <c r="N10" s="75">
        <v>12168</v>
      </c>
      <c r="O10" s="75">
        <v>13447</v>
      </c>
      <c r="P10" s="75">
        <v>12698</v>
      </c>
      <c r="Q10" s="75">
        <v>13360</v>
      </c>
      <c r="R10" s="75">
        <v>13383</v>
      </c>
      <c r="S10" s="75">
        <v>13285</v>
      </c>
      <c r="T10" s="75">
        <v>12218</v>
      </c>
      <c r="U10" s="75">
        <v>13288</v>
      </c>
      <c r="V10" s="75">
        <v>12798</v>
      </c>
      <c r="W10" s="75">
        <v>11375</v>
      </c>
      <c r="X10" s="75">
        <v>12050</v>
      </c>
      <c r="Y10" s="75">
        <v>11616</v>
      </c>
      <c r="Z10" s="75">
        <v>11354</v>
      </c>
      <c r="AA10" s="75">
        <v>11800</v>
      </c>
      <c r="AB10" s="75">
        <v>10418</v>
      </c>
      <c r="AC10" s="75">
        <v>11315</v>
      </c>
      <c r="AD10" s="75">
        <v>11134</v>
      </c>
      <c r="AE10" s="75">
        <v>10389</v>
      </c>
      <c r="AF10" s="75">
        <v>12003</v>
      </c>
      <c r="AG10" s="75">
        <v>11637</v>
      </c>
      <c r="AH10" s="75">
        <v>11712</v>
      </c>
      <c r="AI10" s="75">
        <v>12128</v>
      </c>
      <c r="AJ10" s="75">
        <v>12858</v>
      </c>
      <c r="AK10" s="75">
        <v>12351</v>
      </c>
      <c r="AL10" s="75">
        <v>12084</v>
      </c>
      <c r="AM10" s="75">
        <v>13043</v>
      </c>
      <c r="AN10" s="75">
        <v>12999</v>
      </c>
      <c r="AO10" s="75">
        <v>13236</v>
      </c>
      <c r="AP10" s="75">
        <v>13862</v>
      </c>
      <c r="AQ10" s="75">
        <v>13471</v>
      </c>
      <c r="AR10" s="75">
        <v>13961</v>
      </c>
      <c r="AS10" s="75">
        <v>12773</v>
      </c>
      <c r="AT10" s="75">
        <v>12840</v>
      </c>
      <c r="AU10" s="75">
        <v>13613</v>
      </c>
      <c r="AV10" s="75">
        <v>13152</v>
      </c>
      <c r="AW10" s="75">
        <v>13475</v>
      </c>
      <c r="AX10" s="75">
        <v>11191</v>
      </c>
      <c r="AY10" s="75">
        <v>12354</v>
      </c>
      <c r="AZ10" s="75">
        <v>12611</v>
      </c>
      <c r="BA10" s="75">
        <v>12175</v>
      </c>
    </row>
    <row r="11" spans="1:54" s="47" customFormat="1" x14ac:dyDescent="0.2">
      <c r="A11" s="76" t="s">
        <v>167</v>
      </c>
      <c r="B11" s="13">
        <v>38950</v>
      </c>
      <c r="C11" s="13">
        <v>46895</v>
      </c>
      <c r="D11" s="13">
        <v>46536</v>
      </c>
      <c r="E11" s="13">
        <v>49972</v>
      </c>
      <c r="F11" s="13">
        <v>51544</v>
      </c>
      <c r="G11" s="13">
        <v>45429</v>
      </c>
      <c r="H11" s="13">
        <v>47353</v>
      </c>
      <c r="I11" s="13">
        <v>49322</v>
      </c>
      <c r="J11" s="13">
        <v>51688</v>
      </c>
      <c r="K11" s="13">
        <v>49903</v>
      </c>
      <c r="L11" s="13">
        <v>48789</v>
      </c>
      <c r="M11" s="13">
        <v>52144</v>
      </c>
      <c r="N11" s="13">
        <v>48677</v>
      </c>
      <c r="O11" s="13">
        <v>48661</v>
      </c>
      <c r="P11" s="13">
        <v>47912</v>
      </c>
      <c r="Q11" s="13">
        <v>48003</v>
      </c>
      <c r="R11" s="13">
        <v>50608</v>
      </c>
      <c r="S11" s="13">
        <v>51975</v>
      </c>
      <c r="T11" s="13">
        <v>50632</v>
      </c>
      <c r="U11" s="13">
        <v>51613</v>
      </c>
      <c r="V11" s="13">
        <v>48134</v>
      </c>
      <c r="W11" s="13">
        <v>52310</v>
      </c>
      <c r="X11" s="13">
        <v>52409</v>
      </c>
      <c r="Y11" s="13">
        <v>51486</v>
      </c>
      <c r="Z11" s="13">
        <v>51899</v>
      </c>
      <c r="AA11" s="13">
        <v>51377</v>
      </c>
      <c r="AB11" s="13">
        <v>47118</v>
      </c>
      <c r="AC11" s="13">
        <v>50934</v>
      </c>
      <c r="AD11" s="13">
        <v>51481</v>
      </c>
      <c r="AE11" s="13">
        <v>52924</v>
      </c>
      <c r="AF11" s="13">
        <v>53504</v>
      </c>
      <c r="AG11" s="13">
        <v>51568</v>
      </c>
      <c r="AH11" s="13">
        <v>53706</v>
      </c>
      <c r="AI11" s="13">
        <v>53750</v>
      </c>
      <c r="AJ11" s="13">
        <v>52803</v>
      </c>
      <c r="AK11" s="13">
        <v>47689</v>
      </c>
      <c r="AL11" s="13">
        <v>54414</v>
      </c>
      <c r="AM11" s="13">
        <v>55117</v>
      </c>
      <c r="AN11" s="13">
        <v>54377</v>
      </c>
      <c r="AO11" s="13">
        <v>50330</v>
      </c>
      <c r="AP11" s="13">
        <v>50635</v>
      </c>
      <c r="AQ11" s="13">
        <v>51988</v>
      </c>
      <c r="AR11" s="13">
        <v>53263</v>
      </c>
      <c r="AS11" s="13">
        <v>52434</v>
      </c>
      <c r="AT11" s="13">
        <v>52409</v>
      </c>
      <c r="AU11" s="13">
        <v>51124</v>
      </c>
      <c r="AV11" s="13">
        <v>49875</v>
      </c>
      <c r="AW11" s="13">
        <v>51150</v>
      </c>
      <c r="AX11" s="13">
        <v>52617</v>
      </c>
      <c r="AY11" s="13">
        <v>53155</v>
      </c>
      <c r="AZ11" s="13">
        <v>53068</v>
      </c>
      <c r="BA11" s="13">
        <v>40520</v>
      </c>
    </row>
    <row r="12" spans="1:54" s="47" customFormat="1" ht="13.5" thickBot="1" x14ac:dyDescent="0.25">
      <c r="A12" s="78" t="s">
        <v>174</v>
      </c>
      <c r="B12" s="23">
        <v>92235</v>
      </c>
      <c r="C12" s="23">
        <v>106307</v>
      </c>
      <c r="D12" s="23">
        <v>105170</v>
      </c>
      <c r="E12" s="23">
        <v>113037</v>
      </c>
      <c r="F12" s="23">
        <v>114592</v>
      </c>
      <c r="G12" s="23">
        <v>102838</v>
      </c>
      <c r="H12" s="23">
        <v>102925</v>
      </c>
      <c r="I12" s="23">
        <v>109802</v>
      </c>
      <c r="J12" s="23">
        <v>115690</v>
      </c>
      <c r="K12" s="23">
        <v>114146</v>
      </c>
      <c r="L12" s="23">
        <v>111572</v>
      </c>
      <c r="M12" s="23">
        <v>117990</v>
      </c>
      <c r="N12" s="23">
        <v>113172</v>
      </c>
      <c r="O12" s="23">
        <v>115443</v>
      </c>
      <c r="P12" s="23">
        <v>114085</v>
      </c>
      <c r="Q12" s="23">
        <v>112918</v>
      </c>
      <c r="R12" s="23">
        <v>118109</v>
      </c>
      <c r="S12" s="23">
        <v>117774</v>
      </c>
      <c r="T12" s="23">
        <v>115928</v>
      </c>
      <c r="U12" s="23">
        <v>117403</v>
      </c>
      <c r="V12" s="23">
        <v>112694</v>
      </c>
      <c r="W12" s="23">
        <v>117646</v>
      </c>
      <c r="X12" s="23">
        <v>116381</v>
      </c>
      <c r="Y12" s="23">
        <v>117742</v>
      </c>
      <c r="Z12" s="23">
        <v>115413</v>
      </c>
      <c r="AA12" s="23">
        <v>117486</v>
      </c>
      <c r="AB12" s="23">
        <v>107243</v>
      </c>
      <c r="AC12" s="23">
        <v>113329</v>
      </c>
      <c r="AD12" s="23">
        <v>114519</v>
      </c>
      <c r="AE12" s="23">
        <v>117312</v>
      </c>
      <c r="AF12" s="23">
        <v>119431</v>
      </c>
      <c r="AG12" s="23">
        <v>114926</v>
      </c>
      <c r="AH12" s="23">
        <v>118702</v>
      </c>
      <c r="AI12" s="23">
        <v>118889</v>
      </c>
      <c r="AJ12" s="23">
        <v>120171</v>
      </c>
      <c r="AK12" s="23">
        <v>110856</v>
      </c>
      <c r="AL12" s="23">
        <v>116037</v>
      </c>
      <c r="AM12" s="23">
        <v>120658</v>
      </c>
      <c r="AN12" s="23">
        <v>122011</v>
      </c>
      <c r="AO12" s="23">
        <v>117097</v>
      </c>
      <c r="AP12" s="23">
        <v>117504</v>
      </c>
      <c r="AQ12" s="23">
        <v>119924</v>
      </c>
      <c r="AR12" s="23">
        <v>124043</v>
      </c>
      <c r="AS12" s="23">
        <v>120313</v>
      </c>
      <c r="AT12" s="23">
        <v>120152</v>
      </c>
      <c r="AU12" s="23">
        <v>118308</v>
      </c>
      <c r="AV12" s="23">
        <v>115990</v>
      </c>
      <c r="AW12" s="23">
        <v>119087</v>
      </c>
      <c r="AX12" s="23">
        <v>116741</v>
      </c>
      <c r="AY12" s="23">
        <v>118548</v>
      </c>
      <c r="AZ12" s="23">
        <v>121569</v>
      </c>
      <c r="BA12" s="23">
        <v>97169</v>
      </c>
    </row>
    <row r="13" spans="1:54" s="47" customFormat="1" ht="13.5" thickTop="1" x14ac:dyDescent="0.2">
      <c r="A13" s="76"/>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row>
    <row r="14" spans="1:54" s="47" customFormat="1" x14ac:dyDescent="0.2">
      <c r="A14" s="73" t="s">
        <v>175</v>
      </c>
    </row>
    <row r="15" spans="1:54" s="47" customFormat="1" x14ac:dyDescent="0.2">
      <c r="A15" s="74" t="s">
        <v>155</v>
      </c>
      <c r="B15" s="75">
        <v>470.16754500000002</v>
      </c>
      <c r="C15" s="75">
        <v>527.56733399999996</v>
      </c>
      <c r="D15" s="75">
        <v>550.772559</v>
      </c>
      <c r="E15" s="75">
        <v>566.22225400000002</v>
      </c>
      <c r="F15" s="75">
        <v>542.97605999999996</v>
      </c>
      <c r="G15" s="75">
        <v>475.85932500000001</v>
      </c>
      <c r="H15" s="75">
        <v>490.05543699999998</v>
      </c>
      <c r="I15" s="75">
        <v>577.480637</v>
      </c>
      <c r="J15" s="75">
        <v>529.23753299999998</v>
      </c>
      <c r="K15" s="75">
        <v>539.321282</v>
      </c>
      <c r="L15" s="75">
        <v>545.38000399999999</v>
      </c>
      <c r="M15" s="75">
        <v>600.97619199999997</v>
      </c>
      <c r="N15" s="75">
        <v>567.15270199999998</v>
      </c>
      <c r="O15" s="75">
        <v>552.048991</v>
      </c>
      <c r="P15" s="75">
        <v>628.206548</v>
      </c>
      <c r="Q15" s="75">
        <v>581.846317</v>
      </c>
      <c r="R15" s="75">
        <v>613.15880900000002</v>
      </c>
      <c r="S15" s="75">
        <v>635.55336799999998</v>
      </c>
      <c r="T15" s="75">
        <v>626.27488200000005</v>
      </c>
      <c r="U15" s="75">
        <v>609.75495000000001</v>
      </c>
      <c r="V15" s="75">
        <v>629.43749500000001</v>
      </c>
      <c r="W15" s="75">
        <v>651.13874799999996</v>
      </c>
      <c r="X15" s="75">
        <v>627.47854500000005</v>
      </c>
      <c r="Y15" s="75">
        <v>602.05085899999995</v>
      </c>
      <c r="Z15" s="75">
        <v>570.23413000000005</v>
      </c>
      <c r="AA15" s="75">
        <v>588.70602699999995</v>
      </c>
      <c r="AB15" s="75">
        <v>577.41132100000004</v>
      </c>
      <c r="AC15" s="75">
        <v>584.01712099999997</v>
      </c>
      <c r="AD15" s="75">
        <v>583.63010999999995</v>
      </c>
      <c r="AE15" s="75">
        <v>597.374593</v>
      </c>
      <c r="AF15" s="75">
        <v>635.54920500000003</v>
      </c>
      <c r="AG15" s="75">
        <v>613.55626700000005</v>
      </c>
      <c r="AH15" s="75">
        <v>659.54825100000005</v>
      </c>
      <c r="AI15" s="75">
        <v>607.58142199999998</v>
      </c>
      <c r="AJ15" s="75">
        <v>639.03380900000002</v>
      </c>
      <c r="AK15" s="75">
        <v>577.48585200000002</v>
      </c>
      <c r="AL15" s="75">
        <v>614.69288600000004</v>
      </c>
      <c r="AM15" s="75">
        <v>607.17435599999999</v>
      </c>
      <c r="AN15" s="75">
        <v>599.98067400000002</v>
      </c>
      <c r="AO15" s="75">
        <v>560.27135199999998</v>
      </c>
      <c r="AP15" s="75">
        <v>558.39090199999998</v>
      </c>
      <c r="AQ15" s="75">
        <v>562.35031400000003</v>
      </c>
      <c r="AR15" s="75">
        <v>568.02912200000003</v>
      </c>
      <c r="AS15" s="75">
        <v>565.61294299999997</v>
      </c>
      <c r="AT15" s="75">
        <v>548.66618800000003</v>
      </c>
      <c r="AU15" s="75">
        <v>537.72273800000005</v>
      </c>
      <c r="AV15" s="75">
        <v>573.65167599999995</v>
      </c>
      <c r="AW15" s="75">
        <v>547.40480400000001</v>
      </c>
      <c r="AX15" s="75">
        <v>567.00227500000005</v>
      </c>
      <c r="AY15" s="75">
        <v>543.24235999999996</v>
      </c>
      <c r="AZ15" s="75">
        <v>579.59983199999999</v>
      </c>
      <c r="BA15" s="75">
        <v>345.26898999999997</v>
      </c>
    </row>
    <row r="16" spans="1:54" s="47" customFormat="1" x14ac:dyDescent="0.2">
      <c r="A16" s="76" t="s">
        <v>157</v>
      </c>
      <c r="B16" s="13">
        <v>768.942904</v>
      </c>
      <c r="C16" s="13">
        <v>823.71764900000005</v>
      </c>
      <c r="D16" s="13">
        <v>805.564166</v>
      </c>
      <c r="E16" s="13">
        <v>876.52405099999999</v>
      </c>
      <c r="F16" s="13">
        <v>829.50453600000003</v>
      </c>
      <c r="G16" s="13">
        <v>802.89612</v>
      </c>
      <c r="H16" s="13">
        <v>797.31746299999998</v>
      </c>
      <c r="I16" s="13">
        <v>758.73979599999996</v>
      </c>
      <c r="J16" s="13">
        <v>897.15143699999999</v>
      </c>
      <c r="K16" s="13">
        <v>797.30322200000001</v>
      </c>
      <c r="L16" s="13">
        <v>808.21679900000004</v>
      </c>
      <c r="M16" s="13">
        <v>915.83863299999996</v>
      </c>
      <c r="N16" s="13">
        <v>842.85156900000004</v>
      </c>
      <c r="O16" s="13">
        <v>897.35908700000005</v>
      </c>
      <c r="P16" s="13">
        <v>856.529494</v>
      </c>
      <c r="Q16" s="13">
        <v>940.21354799999995</v>
      </c>
      <c r="R16" s="13">
        <v>877.47556699999996</v>
      </c>
      <c r="S16" s="13">
        <v>911.16382499999997</v>
      </c>
      <c r="T16" s="13">
        <v>854.20168799999999</v>
      </c>
      <c r="U16" s="13">
        <v>861.27962300000002</v>
      </c>
      <c r="V16" s="13">
        <v>854.00417900000002</v>
      </c>
      <c r="W16" s="13">
        <v>891.32717500000001</v>
      </c>
      <c r="X16" s="13">
        <v>959.59432400000003</v>
      </c>
      <c r="Y16" s="13">
        <v>856.58274700000004</v>
      </c>
      <c r="Z16" s="13">
        <v>928.41677900000002</v>
      </c>
      <c r="AA16" s="13">
        <v>863.16489799999999</v>
      </c>
      <c r="AB16" s="13">
        <v>946.01734699999997</v>
      </c>
      <c r="AC16" s="13">
        <v>809.24763800000005</v>
      </c>
      <c r="AD16" s="13">
        <v>843.87403300000005</v>
      </c>
      <c r="AE16" s="13">
        <v>971.47585600000002</v>
      </c>
      <c r="AF16" s="13">
        <v>909.47498099999996</v>
      </c>
      <c r="AG16" s="13">
        <v>951.53274899999997</v>
      </c>
      <c r="AH16" s="13">
        <v>895.85442899999998</v>
      </c>
      <c r="AI16" s="13">
        <v>935.92317000000003</v>
      </c>
      <c r="AJ16" s="13">
        <v>1012.0305990000001</v>
      </c>
      <c r="AK16" s="13">
        <v>980.21843899999999</v>
      </c>
      <c r="AL16" s="13">
        <v>1038.902053</v>
      </c>
      <c r="AM16" s="13">
        <v>940.82389999999998</v>
      </c>
      <c r="AN16" s="13">
        <v>1078.283475</v>
      </c>
      <c r="AO16" s="13">
        <v>1023.476376</v>
      </c>
      <c r="AP16" s="13">
        <v>1110.034054</v>
      </c>
      <c r="AQ16" s="13">
        <v>1179.0426629999999</v>
      </c>
      <c r="AR16" s="13">
        <v>1172.0077690000001</v>
      </c>
      <c r="AS16" s="13">
        <v>1151.9720380000001</v>
      </c>
      <c r="AT16" s="13">
        <v>1274.317998</v>
      </c>
      <c r="AU16" s="13">
        <v>1315.7673930000001</v>
      </c>
      <c r="AV16" s="13">
        <v>1247.8107050000001</v>
      </c>
      <c r="AW16" s="13">
        <v>1362.7524289999999</v>
      </c>
      <c r="AX16" s="13">
        <v>1252.01008</v>
      </c>
      <c r="AY16" s="13">
        <v>1286.296822</v>
      </c>
      <c r="AZ16" s="13">
        <v>1337.663125</v>
      </c>
      <c r="BA16" s="13">
        <v>1137.3429249999999</v>
      </c>
    </row>
    <row r="17" spans="1:53" s="47" customFormat="1" x14ac:dyDescent="0.2">
      <c r="A17" s="76" t="s">
        <v>159</v>
      </c>
      <c r="B17" s="13">
        <v>436.01984299999998</v>
      </c>
      <c r="C17" s="13">
        <v>533.42985999999996</v>
      </c>
      <c r="D17" s="13">
        <v>533.025577</v>
      </c>
      <c r="E17" s="13">
        <v>553.58568100000002</v>
      </c>
      <c r="F17" s="13">
        <v>636.83564699999999</v>
      </c>
      <c r="G17" s="13">
        <v>570.75772800000004</v>
      </c>
      <c r="H17" s="13">
        <v>376.697292</v>
      </c>
      <c r="I17" s="13">
        <v>549.755943</v>
      </c>
      <c r="J17" s="13">
        <v>586.86162200000001</v>
      </c>
      <c r="K17" s="13">
        <v>549.22533199999998</v>
      </c>
      <c r="L17" s="13">
        <v>523.111537</v>
      </c>
      <c r="M17" s="13">
        <v>574.97956999999997</v>
      </c>
      <c r="N17" s="13">
        <v>542.02452000000005</v>
      </c>
      <c r="O17" s="13">
        <v>545.92082700000003</v>
      </c>
      <c r="P17" s="13">
        <v>532.86710600000004</v>
      </c>
      <c r="Q17" s="13">
        <v>510.95788800000003</v>
      </c>
      <c r="R17" s="13">
        <v>538.80747499999995</v>
      </c>
      <c r="S17" s="13">
        <v>577.17557799999997</v>
      </c>
      <c r="T17" s="13">
        <v>605.150262</v>
      </c>
      <c r="U17" s="13">
        <v>620.59984499999996</v>
      </c>
      <c r="V17" s="13">
        <v>544.86285399999997</v>
      </c>
      <c r="W17" s="13">
        <v>653.82938100000001</v>
      </c>
      <c r="X17" s="13">
        <v>554.03021200000001</v>
      </c>
      <c r="Y17" s="13">
        <v>623.98762799999997</v>
      </c>
      <c r="Z17" s="13">
        <v>632.85015299999998</v>
      </c>
      <c r="AA17" s="13">
        <v>611.68785600000001</v>
      </c>
      <c r="AB17" s="13">
        <v>480.40144600000002</v>
      </c>
      <c r="AC17" s="13">
        <v>609.45670299999995</v>
      </c>
      <c r="AD17" s="13">
        <v>585.36375999999996</v>
      </c>
      <c r="AE17" s="13">
        <v>710.86220200000002</v>
      </c>
      <c r="AF17" s="13">
        <v>573.49015199999997</v>
      </c>
      <c r="AG17" s="13">
        <v>564.55589799999996</v>
      </c>
      <c r="AH17" s="13">
        <v>557.06990199999996</v>
      </c>
      <c r="AI17" s="13">
        <v>564.75695800000005</v>
      </c>
      <c r="AJ17" s="13">
        <v>559.45525499999997</v>
      </c>
      <c r="AK17" s="13">
        <v>543.00420499999996</v>
      </c>
      <c r="AL17" s="13">
        <v>500.82327199999997</v>
      </c>
      <c r="AM17" s="13">
        <v>565.95880599999998</v>
      </c>
      <c r="AN17" s="13">
        <v>565.484104</v>
      </c>
      <c r="AO17" s="13">
        <v>489.34908999999999</v>
      </c>
      <c r="AP17" s="13">
        <v>530.19772399999999</v>
      </c>
      <c r="AQ17" s="13">
        <v>476.42203599999999</v>
      </c>
      <c r="AR17" s="13">
        <v>487.60516699999999</v>
      </c>
      <c r="AS17" s="13">
        <v>542.00620100000003</v>
      </c>
      <c r="AT17" s="13">
        <v>533.78780300000005</v>
      </c>
      <c r="AU17" s="13">
        <v>491.63963100000001</v>
      </c>
      <c r="AV17" s="13">
        <v>407.79496999999998</v>
      </c>
      <c r="AW17" s="13">
        <v>460.736807</v>
      </c>
      <c r="AX17" s="13">
        <v>431.31848000000002</v>
      </c>
      <c r="AY17" s="13">
        <v>381.62929200000002</v>
      </c>
      <c r="AZ17" s="13">
        <v>461.37809399999998</v>
      </c>
      <c r="BA17" s="13">
        <v>337.41420499999998</v>
      </c>
    </row>
    <row r="18" spans="1:53" s="47" customFormat="1" x14ac:dyDescent="0.2">
      <c r="A18" s="76" t="s">
        <v>161</v>
      </c>
      <c r="B18" s="13">
        <v>49.086098</v>
      </c>
      <c r="C18" s="13">
        <v>63.683413000000002</v>
      </c>
      <c r="D18" s="13">
        <v>65.517628999999999</v>
      </c>
      <c r="E18" s="13">
        <v>68.269163000000006</v>
      </c>
      <c r="F18" s="13">
        <v>67.223916000000003</v>
      </c>
      <c r="G18" s="13">
        <v>62.602876000000002</v>
      </c>
      <c r="H18" s="13">
        <v>81.106605000000002</v>
      </c>
      <c r="I18" s="13">
        <v>82.781339000000003</v>
      </c>
      <c r="J18" s="13">
        <v>88.822160999999994</v>
      </c>
      <c r="K18" s="13">
        <v>89.268682999999996</v>
      </c>
      <c r="L18" s="13">
        <v>95.944578000000007</v>
      </c>
      <c r="M18" s="13">
        <v>95.455619999999996</v>
      </c>
      <c r="N18" s="13">
        <v>81.217856999999995</v>
      </c>
      <c r="O18" s="13">
        <v>90.430890000000005</v>
      </c>
      <c r="P18" s="13">
        <v>88.28004</v>
      </c>
      <c r="Q18" s="13">
        <v>94.697209999999998</v>
      </c>
      <c r="R18" s="13">
        <v>88.749718000000001</v>
      </c>
      <c r="S18" s="13">
        <v>84.028977999999995</v>
      </c>
      <c r="T18" s="13">
        <v>91.657539</v>
      </c>
      <c r="U18" s="13">
        <v>90.992557000000005</v>
      </c>
      <c r="V18" s="13">
        <v>84.233046999999999</v>
      </c>
      <c r="W18" s="13">
        <v>84.316047999999995</v>
      </c>
      <c r="X18" s="13">
        <v>87.164479999999998</v>
      </c>
      <c r="Y18" s="13">
        <v>95.967267000000007</v>
      </c>
      <c r="Z18" s="13">
        <v>85.689886000000001</v>
      </c>
      <c r="AA18" s="13">
        <v>83.981257999999997</v>
      </c>
      <c r="AB18" s="13">
        <v>71.507463999999999</v>
      </c>
      <c r="AC18" s="13">
        <v>79.672220999999993</v>
      </c>
      <c r="AD18" s="13">
        <v>78.614830999999995</v>
      </c>
      <c r="AE18" s="13">
        <v>78.172600000000003</v>
      </c>
      <c r="AF18" s="13">
        <v>67.102397999999994</v>
      </c>
      <c r="AG18" s="13">
        <v>68.067887999999996</v>
      </c>
      <c r="AH18" s="13">
        <v>68.229646000000002</v>
      </c>
      <c r="AI18" s="13">
        <v>65.916960000000003</v>
      </c>
      <c r="AJ18" s="13">
        <v>64.399518</v>
      </c>
      <c r="AK18" s="13">
        <v>58.482545000000002</v>
      </c>
      <c r="AL18" s="13">
        <v>64.148273000000003</v>
      </c>
      <c r="AM18" s="13">
        <v>66.382373000000001</v>
      </c>
      <c r="AN18" s="13">
        <v>69.416351000000006</v>
      </c>
      <c r="AO18" s="13">
        <v>66.535977000000003</v>
      </c>
      <c r="AP18" s="13">
        <v>62.260621999999998</v>
      </c>
      <c r="AQ18" s="13">
        <v>64.540514999999999</v>
      </c>
      <c r="AR18" s="13">
        <v>60.692512000000001</v>
      </c>
      <c r="AS18" s="13">
        <v>58.149248999999998</v>
      </c>
      <c r="AT18" s="13">
        <v>62.942343000000001</v>
      </c>
      <c r="AU18" s="13">
        <v>66.184892000000005</v>
      </c>
      <c r="AV18" s="13">
        <v>70.809903000000006</v>
      </c>
      <c r="AW18" s="13">
        <v>75.864565999999996</v>
      </c>
      <c r="AX18" s="13">
        <v>68.016014999999996</v>
      </c>
      <c r="AY18" s="13">
        <v>72.993154000000004</v>
      </c>
      <c r="AZ18" s="13">
        <v>63.417651999999997</v>
      </c>
      <c r="BA18" s="13">
        <v>40.33334</v>
      </c>
    </row>
    <row r="19" spans="1:53" s="47" customFormat="1" x14ac:dyDescent="0.2">
      <c r="A19" s="76" t="s">
        <v>163</v>
      </c>
      <c r="B19" s="13">
        <v>285.27632999999997</v>
      </c>
      <c r="C19" s="13">
        <v>289.15180299999997</v>
      </c>
      <c r="D19" s="13">
        <v>285.02694200000002</v>
      </c>
      <c r="E19" s="13">
        <v>297.45949000000002</v>
      </c>
      <c r="F19" s="13">
        <v>305.344178</v>
      </c>
      <c r="G19" s="13">
        <v>271.33256999999998</v>
      </c>
      <c r="H19" s="13">
        <v>246.613857</v>
      </c>
      <c r="I19" s="13">
        <v>228.74319600000001</v>
      </c>
      <c r="J19" s="13">
        <v>240.93526800000001</v>
      </c>
      <c r="K19" s="13">
        <v>332.93093099999999</v>
      </c>
      <c r="L19" s="13">
        <v>297.440966</v>
      </c>
      <c r="M19" s="13">
        <v>326.169487</v>
      </c>
      <c r="N19" s="13">
        <v>323.551108</v>
      </c>
      <c r="O19" s="13">
        <v>391.40284500000001</v>
      </c>
      <c r="P19" s="13">
        <v>380.34756199999998</v>
      </c>
      <c r="Q19" s="13">
        <v>386.35619100000002</v>
      </c>
      <c r="R19" s="13">
        <v>372.92206199999998</v>
      </c>
      <c r="S19" s="13">
        <v>348.47125</v>
      </c>
      <c r="T19" s="13">
        <v>389.94143800000001</v>
      </c>
      <c r="U19" s="13">
        <v>344.782263</v>
      </c>
      <c r="V19" s="13">
        <v>312.41275999999999</v>
      </c>
      <c r="W19" s="13">
        <v>384.45739300000002</v>
      </c>
      <c r="X19" s="13">
        <v>338.96139199999999</v>
      </c>
      <c r="Y19" s="13">
        <v>394.82963799999999</v>
      </c>
      <c r="Z19" s="13">
        <v>341.73924299999999</v>
      </c>
      <c r="AA19" s="13">
        <v>354.11135000000002</v>
      </c>
      <c r="AB19" s="13">
        <v>322.61103400000002</v>
      </c>
      <c r="AC19" s="13">
        <v>292.55300099999999</v>
      </c>
      <c r="AD19" s="13">
        <v>367.71195299999999</v>
      </c>
      <c r="AE19" s="13">
        <v>320.34857599999998</v>
      </c>
      <c r="AF19" s="13">
        <v>357.47294699999998</v>
      </c>
      <c r="AG19" s="13">
        <v>336.81718999999998</v>
      </c>
      <c r="AH19" s="13">
        <v>327.67391199999997</v>
      </c>
      <c r="AI19" s="13">
        <v>318.83129100000002</v>
      </c>
      <c r="AJ19" s="13">
        <v>373.15249699999998</v>
      </c>
      <c r="AK19" s="13">
        <v>392.67488900000001</v>
      </c>
      <c r="AL19" s="13">
        <v>342.40771899999999</v>
      </c>
      <c r="AM19" s="13">
        <v>299.528189</v>
      </c>
      <c r="AN19" s="13">
        <v>373.45128899999997</v>
      </c>
      <c r="AO19" s="13">
        <v>397.539063</v>
      </c>
      <c r="AP19" s="13">
        <v>338.69107600000001</v>
      </c>
      <c r="AQ19" s="13">
        <v>390.88906100000003</v>
      </c>
      <c r="AR19" s="13">
        <v>427.41222099999999</v>
      </c>
      <c r="AS19" s="13">
        <v>424.08464199999997</v>
      </c>
      <c r="AT19" s="13">
        <v>370.73878500000001</v>
      </c>
      <c r="AU19" s="13">
        <v>394.418609</v>
      </c>
      <c r="AV19" s="13">
        <v>375.08742000000001</v>
      </c>
      <c r="AW19" s="13">
        <v>369.94255700000002</v>
      </c>
      <c r="AX19" s="13">
        <v>399.29981500000002</v>
      </c>
      <c r="AY19" s="13">
        <v>358.99286999999998</v>
      </c>
      <c r="AZ19" s="13">
        <v>390.68824499999999</v>
      </c>
      <c r="BA19" s="13">
        <v>339.10771799999998</v>
      </c>
    </row>
    <row r="20" spans="1:53" s="47" customFormat="1" x14ac:dyDescent="0.2">
      <c r="A20" s="77" t="s">
        <v>165</v>
      </c>
      <c r="B20" s="75">
        <v>839.29856299999994</v>
      </c>
      <c r="C20" s="75">
        <v>1083.413078</v>
      </c>
      <c r="D20" s="75">
        <v>1056.4154490000001</v>
      </c>
      <c r="E20" s="75">
        <v>1170.87689</v>
      </c>
      <c r="F20" s="75">
        <v>951.75040000000001</v>
      </c>
      <c r="G20" s="75">
        <v>980.42303900000002</v>
      </c>
      <c r="H20" s="75">
        <v>936.77798399999995</v>
      </c>
      <c r="I20" s="75">
        <v>964.13082399999996</v>
      </c>
      <c r="J20" s="75">
        <v>1236.7251470000001</v>
      </c>
      <c r="K20" s="75">
        <v>1062.4015890000001</v>
      </c>
      <c r="L20" s="75">
        <v>1079.421245</v>
      </c>
      <c r="M20" s="75">
        <v>1196.865634</v>
      </c>
      <c r="N20" s="75">
        <v>1078.7616519999999</v>
      </c>
      <c r="O20" s="75">
        <v>1165.291432</v>
      </c>
      <c r="P20" s="75">
        <v>1209.3795689999999</v>
      </c>
      <c r="Q20" s="75">
        <v>1181.7499929999999</v>
      </c>
      <c r="R20" s="75">
        <v>1207.2783429999999</v>
      </c>
      <c r="S20" s="75">
        <v>1153.853746</v>
      </c>
      <c r="T20" s="75">
        <v>1086.5535279999999</v>
      </c>
      <c r="U20" s="75">
        <v>1212.685982</v>
      </c>
      <c r="V20" s="75">
        <v>1202.688054</v>
      </c>
      <c r="W20" s="75">
        <v>977.73855300000002</v>
      </c>
      <c r="X20" s="75">
        <v>1080.4599840000001</v>
      </c>
      <c r="Y20" s="75">
        <v>1084.4300860000001</v>
      </c>
      <c r="Z20" s="75">
        <v>925.62705300000005</v>
      </c>
      <c r="AA20" s="75">
        <v>1102.9575850000001</v>
      </c>
      <c r="AB20" s="75">
        <v>872.27431300000001</v>
      </c>
      <c r="AC20" s="75">
        <v>973.23172699999998</v>
      </c>
      <c r="AD20" s="75">
        <v>939.45765600000004</v>
      </c>
      <c r="AE20" s="75">
        <v>843.89207799999997</v>
      </c>
      <c r="AF20" s="75">
        <v>1046.985762</v>
      </c>
      <c r="AG20" s="75">
        <v>987.71008099999995</v>
      </c>
      <c r="AH20" s="75">
        <v>1001.882459</v>
      </c>
      <c r="AI20" s="75">
        <v>1036.8327959999999</v>
      </c>
      <c r="AJ20" s="75">
        <v>1106.425741</v>
      </c>
      <c r="AK20" s="75">
        <v>1129.4529500000001</v>
      </c>
      <c r="AL20" s="75">
        <v>1079.0869210000001</v>
      </c>
      <c r="AM20" s="75">
        <v>1157.2884570000001</v>
      </c>
      <c r="AN20" s="75">
        <v>1160.044161</v>
      </c>
      <c r="AO20" s="75">
        <v>1267.928126</v>
      </c>
      <c r="AP20" s="75">
        <v>1276.629633</v>
      </c>
      <c r="AQ20" s="75">
        <v>1297.280033</v>
      </c>
      <c r="AR20" s="75">
        <v>1340.2813570000001</v>
      </c>
      <c r="AS20" s="75">
        <v>1137.7411830000001</v>
      </c>
      <c r="AT20" s="75">
        <v>1203.292768</v>
      </c>
      <c r="AU20" s="75">
        <v>1325.697083</v>
      </c>
      <c r="AV20" s="75">
        <v>1292.8942050000001</v>
      </c>
      <c r="AW20" s="75">
        <v>1281.8197729999999</v>
      </c>
      <c r="AX20" s="75">
        <v>1018.253998</v>
      </c>
      <c r="AY20" s="75">
        <v>1195.2915849999999</v>
      </c>
      <c r="AZ20" s="75">
        <v>1150.4252770000001</v>
      </c>
      <c r="BA20" s="75">
        <v>1247.683331</v>
      </c>
    </row>
    <row r="21" spans="1:53" s="47" customFormat="1" x14ac:dyDescent="0.2">
      <c r="A21" s="76" t="s">
        <v>167</v>
      </c>
      <c r="B21" s="13">
        <v>911.91491599999995</v>
      </c>
      <c r="C21" s="13">
        <v>1150.3726979999999</v>
      </c>
      <c r="D21" s="13">
        <v>1041.352369</v>
      </c>
      <c r="E21" s="13">
        <v>1181.3349209999999</v>
      </c>
      <c r="F21" s="13">
        <v>1221.629541</v>
      </c>
      <c r="G21" s="13">
        <v>1027.0365899999999</v>
      </c>
      <c r="H21" s="13">
        <v>1088.7698479999999</v>
      </c>
      <c r="I21" s="13">
        <v>1085.5312120000001</v>
      </c>
      <c r="J21" s="13">
        <v>1136.7417680000001</v>
      </c>
      <c r="K21" s="13">
        <v>1135.883941</v>
      </c>
      <c r="L21" s="13">
        <v>1153.8165570000001</v>
      </c>
      <c r="M21" s="13">
        <v>1194.02268</v>
      </c>
      <c r="N21" s="13">
        <v>1106.969167</v>
      </c>
      <c r="O21" s="13">
        <v>1113.2991420000001</v>
      </c>
      <c r="P21" s="13">
        <v>1082.2539690000001</v>
      </c>
      <c r="Q21" s="13">
        <v>1153.837636</v>
      </c>
      <c r="R21" s="13">
        <v>1220.724072</v>
      </c>
      <c r="S21" s="13">
        <v>1255.47486</v>
      </c>
      <c r="T21" s="13">
        <v>1212.8208669999999</v>
      </c>
      <c r="U21" s="13">
        <v>1222.241401</v>
      </c>
      <c r="V21" s="13">
        <v>1156.0406089999999</v>
      </c>
      <c r="W21" s="13">
        <v>1258.7795160000001</v>
      </c>
      <c r="X21" s="13">
        <v>1251.478386</v>
      </c>
      <c r="Y21" s="13">
        <v>1171.5081540000001</v>
      </c>
      <c r="Z21" s="13">
        <v>1228.2691600000001</v>
      </c>
      <c r="AA21" s="13">
        <v>1207.036081</v>
      </c>
      <c r="AB21" s="13">
        <v>1030.7594939999999</v>
      </c>
      <c r="AC21" s="13">
        <v>1172.143714</v>
      </c>
      <c r="AD21" s="13">
        <v>1178.01893</v>
      </c>
      <c r="AE21" s="13">
        <v>1177.5460370000001</v>
      </c>
      <c r="AF21" s="13">
        <v>1195.4314569999999</v>
      </c>
      <c r="AG21" s="13">
        <v>1167.3893860000001</v>
      </c>
      <c r="AH21" s="13">
        <v>1149.12508</v>
      </c>
      <c r="AI21" s="13">
        <v>1173.9963519999999</v>
      </c>
      <c r="AJ21" s="13">
        <v>1083.773741</v>
      </c>
      <c r="AK21" s="13">
        <v>951.51908000000003</v>
      </c>
      <c r="AL21" s="13">
        <v>1232.201118</v>
      </c>
      <c r="AM21" s="13">
        <v>1180.3153990000001</v>
      </c>
      <c r="AN21" s="13">
        <v>1180.492945</v>
      </c>
      <c r="AO21" s="13">
        <v>1132.9789390000001</v>
      </c>
      <c r="AP21" s="13">
        <v>1164.3093779999999</v>
      </c>
      <c r="AQ21" s="13">
        <v>1125.907999</v>
      </c>
      <c r="AR21" s="13">
        <v>1235.894728</v>
      </c>
      <c r="AS21" s="13">
        <v>1197.189912</v>
      </c>
      <c r="AT21" s="13">
        <v>1234.7037350000001</v>
      </c>
      <c r="AU21" s="13">
        <v>1181.3502249999999</v>
      </c>
      <c r="AV21" s="13">
        <v>1168.17589</v>
      </c>
      <c r="AW21" s="13">
        <v>1213.3738060000001</v>
      </c>
      <c r="AX21" s="13">
        <v>1223.5430819999999</v>
      </c>
      <c r="AY21" s="13">
        <v>1214.8132740000001</v>
      </c>
      <c r="AZ21" s="13">
        <v>1189.9688149999999</v>
      </c>
      <c r="BA21" s="13">
        <v>821.21724600000005</v>
      </c>
    </row>
    <row r="22" spans="1:53" s="47" customFormat="1" ht="13.5" thickBot="1" x14ac:dyDescent="0.25">
      <c r="A22" s="78" t="s">
        <v>176</v>
      </c>
      <c r="B22" s="23">
        <v>3760.7061990000002</v>
      </c>
      <c r="C22" s="23">
        <v>4471.3358349999999</v>
      </c>
      <c r="D22" s="23">
        <v>4337.6746910000002</v>
      </c>
      <c r="E22" s="23">
        <v>4714.2724500000004</v>
      </c>
      <c r="F22" s="23">
        <v>4555.2642779999996</v>
      </c>
      <c r="G22" s="23">
        <v>4190.9082479999997</v>
      </c>
      <c r="H22" s="23">
        <v>4017.3384859999996</v>
      </c>
      <c r="I22" s="23">
        <v>4247.1629469999998</v>
      </c>
      <c r="J22" s="23">
        <v>4716.4749360000005</v>
      </c>
      <c r="K22" s="23">
        <v>4506.3349799999996</v>
      </c>
      <c r="L22" s="23">
        <v>4503.3316859999995</v>
      </c>
      <c r="M22" s="23">
        <v>4904.3078160000005</v>
      </c>
      <c r="N22" s="23">
        <v>4542.5285750000003</v>
      </c>
      <c r="O22" s="23">
        <v>4755.7532140000003</v>
      </c>
      <c r="P22" s="23">
        <v>4777.8642880000007</v>
      </c>
      <c r="Q22" s="23">
        <v>4849.6587829999999</v>
      </c>
      <c r="R22" s="23">
        <v>4919.1160460000001</v>
      </c>
      <c r="S22" s="23">
        <v>4965.7216049999997</v>
      </c>
      <c r="T22" s="23">
        <v>4866.6002039999994</v>
      </c>
      <c r="U22" s="23">
        <v>4962.3366209999995</v>
      </c>
      <c r="V22" s="23">
        <v>4783.6789980000003</v>
      </c>
      <c r="W22" s="23">
        <v>4901.5868140000002</v>
      </c>
      <c r="X22" s="23">
        <v>4899.1673230000006</v>
      </c>
      <c r="Y22" s="23">
        <v>4829.3563789999998</v>
      </c>
      <c r="Z22" s="23">
        <v>4712.8264040000004</v>
      </c>
      <c r="AA22" s="23">
        <v>4811.645055</v>
      </c>
      <c r="AB22" s="23">
        <v>4300.9824189999999</v>
      </c>
      <c r="AC22" s="23">
        <v>4520.3221249999997</v>
      </c>
      <c r="AD22" s="23">
        <v>4576.6712729999999</v>
      </c>
      <c r="AE22" s="23">
        <v>4699.671941999999</v>
      </c>
      <c r="AF22" s="23">
        <v>4785.5069020000001</v>
      </c>
      <c r="AG22" s="23">
        <v>4689.6294589999998</v>
      </c>
      <c r="AH22" s="23">
        <v>4659.3836790000005</v>
      </c>
      <c r="AI22" s="23">
        <v>4703.838949</v>
      </c>
      <c r="AJ22" s="23">
        <v>4838.2711600000002</v>
      </c>
      <c r="AK22" s="23">
        <v>4632.8379599999998</v>
      </c>
      <c r="AL22" s="23">
        <v>4872.2622419999998</v>
      </c>
      <c r="AM22" s="23">
        <v>4817.4714800000002</v>
      </c>
      <c r="AN22" s="23">
        <v>5027.1529989999999</v>
      </c>
      <c r="AO22" s="23">
        <v>4938.0789230000009</v>
      </c>
      <c r="AP22" s="23">
        <v>5040.5133889999997</v>
      </c>
      <c r="AQ22" s="23">
        <v>5096.4326209999999</v>
      </c>
      <c r="AR22" s="23">
        <v>5291.9228760000005</v>
      </c>
      <c r="AS22" s="23">
        <v>5076.7561679999999</v>
      </c>
      <c r="AT22" s="23">
        <v>5228.4496200000003</v>
      </c>
      <c r="AU22" s="23">
        <v>5312.7805710000002</v>
      </c>
      <c r="AV22" s="23">
        <v>5136.2247690000004</v>
      </c>
      <c r="AW22" s="23">
        <v>5311.8947420000004</v>
      </c>
      <c r="AX22" s="23">
        <v>4959.4437450000005</v>
      </c>
      <c r="AY22" s="23">
        <v>5053.2593569999999</v>
      </c>
      <c r="AZ22" s="23">
        <v>5173.1410400000004</v>
      </c>
      <c r="BA22" s="23">
        <v>4268.3677550000002</v>
      </c>
    </row>
    <row r="23" spans="1:53" s="47" customFormat="1" ht="13.5" thickTop="1" x14ac:dyDescent="0.2"/>
    <row r="24" spans="1:53" s="47" customFormat="1" x14ac:dyDescent="0.2"/>
    <row r="25" spans="1:53" s="47" customFormat="1" x14ac:dyDescent="0.2"/>
    <row r="26" spans="1:53" s="47" customFormat="1" x14ac:dyDescent="0.2"/>
    <row r="27" spans="1:53" s="47" customFormat="1" x14ac:dyDescent="0.2"/>
    <row r="28" spans="1:53" s="47" customFormat="1" x14ac:dyDescent="0.2"/>
    <row r="29" spans="1:53" s="47" customFormat="1" x14ac:dyDescent="0.2"/>
    <row r="30" spans="1:53" s="47" customFormat="1" x14ac:dyDescent="0.2"/>
    <row r="31" spans="1:53" s="47" customFormat="1" x14ac:dyDescent="0.2"/>
    <row r="32" spans="1:53" s="47" customFormat="1" x14ac:dyDescent="0.2"/>
    <row r="33" s="47" customFormat="1" x14ac:dyDescent="0.2"/>
    <row r="34" s="47" customFormat="1" x14ac:dyDescent="0.2"/>
    <row r="35" s="47" customFormat="1" x14ac:dyDescent="0.2"/>
    <row r="36" s="47" customFormat="1" x14ac:dyDescent="0.2"/>
    <row r="37" s="47" customFormat="1" x14ac:dyDescent="0.2"/>
    <row r="38" s="47" customFormat="1" x14ac:dyDescent="0.2"/>
    <row r="39" s="47" customFormat="1" x14ac:dyDescent="0.2"/>
    <row r="40" s="47" customFormat="1" x14ac:dyDescent="0.2"/>
    <row r="41" s="47" customFormat="1" x14ac:dyDescent="0.2"/>
    <row r="42" s="47" customFormat="1" x14ac:dyDescent="0.2"/>
    <row r="43" s="47" customFormat="1" x14ac:dyDescent="0.2"/>
    <row r="44" s="47" customFormat="1" x14ac:dyDescent="0.2"/>
    <row r="45" s="47" customFormat="1" x14ac:dyDescent="0.2"/>
    <row r="46" s="47" customFormat="1" x14ac:dyDescent="0.2"/>
    <row r="47" s="47" customFormat="1" x14ac:dyDescent="0.2"/>
    <row r="48" s="47" customFormat="1" x14ac:dyDescent="0.2"/>
    <row r="49" s="47" customFormat="1" x14ac:dyDescent="0.2"/>
    <row r="50" s="47" customFormat="1" x14ac:dyDescent="0.2"/>
    <row r="51" s="47" customFormat="1" x14ac:dyDescent="0.2"/>
    <row r="52" s="47" customFormat="1" x14ac:dyDescent="0.2"/>
    <row r="53" s="47" customFormat="1" x14ac:dyDescent="0.2"/>
    <row r="54" s="47" customFormat="1" x14ac:dyDescent="0.2"/>
  </sheetData>
  <sheetProtection algorithmName="SHA-512" hashValue="GaYUHfNX0Yx9SRiym5bokG1Njey9mLu/x0o+CBPUh06uYCr014ADdJZ8XW/Y3QmY4mWed4pzBRTHxmsY3S887A==" saltValue="l7bVh78v5waRorm7yYUDhg==" spinCount="100000" sheet="1" objects="1" scenarios="1"/>
  <mergeCells count="1">
    <mergeCell ref="A1:BA1"/>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1EEB1-2EF8-4A68-8258-23970446DBAA}">
  <sheetPr codeName="Sheet24">
    <tabColor rgb="FF92D050"/>
  </sheetPr>
  <dimension ref="A1:BA54"/>
  <sheetViews>
    <sheetView zoomScaleNormal="100" workbookViewId="0">
      <pane xSplit="1" ySplit="3" topLeftCell="B4" activePane="bottomRight" state="frozen"/>
      <selection activeCell="C22" sqref="C22"/>
      <selection pane="topRight" activeCell="C22" sqref="C22"/>
      <selection pane="bottomLeft" activeCell="C22" sqref="C22"/>
      <selection pane="bottomRight" activeCell="C22" sqref="C22"/>
    </sheetView>
  </sheetViews>
  <sheetFormatPr defaultColWidth="6.7109375" defaultRowHeight="12.75" x14ac:dyDescent="0.2"/>
  <cols>
    <col min="1" max="1" width="50.42578125" style="42" bestFit="1" customWidth="1"/>
    <col min="2" max="2" width="9.42578125" style="43" customWidth="1"/>
    <col min="3" max="52" width="9.42578125" style="42" customWidth="1"/>
    <col min="53" max="53" width="9.5703125" style="42" bestFit="1" customWidth="1"/>
    <col min="54" max="16384" width="6.7109375" style="42"/>
  </cols>
  <sheetData>
    <row r="1" spans="1:53" ht="23.25" x14ac:dyDescent="0.35">
      <c r="A1" s="145" t="s">
        <v>231</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c r="AE1" s="145"/>
      <c r="AF1" s="145"/>
      <c r="AG1" s="145"/>
      <c r="AH1" s="145"/>
      <c r="AI1" s="145"/>
      <c r="AJ1" s="145"/>
      <c r="AK1" s="145"/>
      <c r="AL1" s="145"/>
      <c r="AM1" s="145"/>
      <c r="AN1" s="145"/>
      <c r="AO1" s="145"/>
      <c r="AP1" s="145"/>
      <c r="AQ1" s="145"/>
      <c r="AR1" s="145"/>
      <c r="AS1" s="145"/>
      <c r="AT1" s="145"/>
      <c r="AU1" s="145"/>
      <c r="AV1" s="145"/>
      <c r="AW1" s="145"/>
      <c r="AX1" s="145"/>
      <c r="AY1" s="145"/>
      <c r="AZ1" s="145"/>
      <c r="BA1" s="145"/>
    </row>
    <row r="2" spans="1:53" ht="13.5" thickBot="1" x14ac:dyDescent="0.25">
      <c r="A2" s="7" t="s">
        <v>223</v>
      </c>
      <c r="B2" s="5">
        <v>1</v>
      </c>
      <c r="C2" s="5">
        <v>2</v>
      </c>
      <c r="D2" s="5">
        <v>3</v>
      </c>
      <c r="E2" s="5">
        <v>4</v>
      </c>
      <c r="F2" s="5">
        <v>5</v>
      </c>
      <c r="G2" s="5">
        <v>6</v>
      </c>
      <c r="H2" s="5">
        <v>7</v>
      </c>
      <c r="I2" s="5">
        <v>8</v>
      </c>
      <c r="J2" s="5">
        <v>9</v>
      </c>
      <c r="K2" s="5">
        <v>10</v>
      </c>
      <c r="L2" s="5">
        <v>11</v>
      </c>
      <c r="M2" s="5">
        <v>12</v>
      </c>
      <c r="N2" s="5">
        <v>13</v>
      </c>
      <c r="O2" s="5">
        <v>14</v>
      </c>
      <c r="P2" s="5">
        <v>15</v>
      </c>
      <c r="Q2" s="5">
        <v>16</v>
      </c>
      <c r="R2" s="5">
        <v>17</v>
      </c>
      <c r="S2" s="5">
        <v>18</v>
      </c>
      <c r="T2" s="5">
        <v>19</v>
      </c>
      <c r="U2" s="5">
        <v>20</v>
      </c>
      <c r="V2" s="5">
        <v>21</v>
      </c>
      <c r="W2" s="5">
        <v>22</v>
      </c>
      <c r="X2" s="5">
        <v>23</v>
      </c>
      <c r="Y2" s="5">
        <v>24</v>
      </c>
      <c r="Z2" s="5">
        <v>25</v>
      </c>
      <c r="AA2" s="5">
        <v>26</v>
      </c>
      <c r="AB2" s="5">
        <v>27</v>
      </c>
      <c r="AC2" s="5">
        <v>28</v>
      </c>
      <c r="AD2" s="5">
        <v>29</v>
      </c>
      <c r="AE2" s="5">
        <v>30</v>
      </c>
      <c r="AF2" s="5">
        <v>31</v>
      </c>
      <c r="AG2" s="5">
        <v>32</v>
      </c>
      <c r="AH2" s="5">
        <v>33</v>
      </c>
      <c r="AI2" s="5">
        <v>34</v>
      </c>
      <c r="AJ2" s="5">
        <v>35</v>
      </c>
      <c r="AK2" s="5">
        <v>36</v>
      </c>
      <c r="AL2" s="5">
        <v>37</v>
      </c>
      <c r="AM2" s="5">
        <v>38</v>
      </c>
      <c r="AN2" s="5">
        <v>39</v>
      </c>
      <c r="AO2" s="5">
        <v>40</v>
      </c>
      <c r="AP2" s="5">
        <v>41</v>
      </c>
      <c r="AQ2" s="5">
        <v>42</v>
      </c>
      <c r="AR2" s="5">
        <v>43</v>
      </c>
      <c r="AS2" s="5">
        <v>44</v>
      </c>
      <c r="AT2" s="5">
        <v>45</v>
      </c>
      <c r="AU2" s="5">
        <v>46</v>
      </c>
      <c r="AV2" s="5">
        <v>47</v>
      </c>
      <c r="AW2" s="5">
        <v>48</v>
      </c>
      <c r="AX2" s="5">
        <v>49</v>
      </c>
      <c r="AY2" s="5">
        <v>50</v>
      </c>
      <c r="AZ2" s="5">
        <v>51</v>
      </c>
      <c r="BA2" s="5">
        <v>52</v>
      </c>
    </row>
    <row r="3" spans="1:53" s="45" customFormat="1" ht="24.75" thickBot="1" x14ac:dyDescent="0.25">
      <c r="A3" s="50" t="s">
        <v>179</v>
      </c>
      <c r="B3" s="51">
        <v>42736</v>
      </c>
      <c r="C3" s="51">
        <v>42743</v>
      </c>
      <c r="D3" s="51">
        <v>42750</v>
      </c>
      <c r="E3" s="51">
        <v>42757</v>
      </c>
      <c r="F3" s="51">
        <v>42764</v>
      </c>
      <c r="G3" s="51">
        <v>42771</v>
      </c>
      <c r="H3" s="51">
        <v>42778</v>
      </c>
      <c r="I3" s="51">
        <v>42785</v>
      </c>
      <c r="J3" s="51">
        <v>42792</v>
      </c>
      <c r="K3" s="51">
        <v>42799</v>
      </c>
      <c r="L3" s="51">
        <v>42806</v>
      </c>
      <c r="M3" s="51">
        <v>42813</v>
      </c>
      <c r="N3" s="51">
        <v>42820</v>
      </c>
      <c r="O3" s="51">
        <v>42827</v>
      </c>
      <c r="P3" s="51">
        <v>42834</v>
      </c>
      <c r="Q3" s="51">
        <v>42841</v>
      </c>
      <c r="R3" s="51">
        <v>42848</v>
      </c>
      <c r="S3" s="51">
        <v>42855</v>
      </c>
      <c r="T3" s="51">
        <v>42862</v>
      </c>
      <c r="U3" s="51">
        <v>42869</v>
      </c>
      <c r="V3" s="51">
        <v>42876</v>
      </c>
      <c r="W3" s="51">
        <v>42883</v>
      </c>
      <c r="X3" s="51">
        <v>42890</v>
      </c>
      <c r="Y3" s="51">
        <v>42897</v>
      </c>
      <c r="Z3" s="51">
        <v>42904</v>
      </c>
      <c r="AA3" s="51">
        <v>42911</v>
      </c>
      <c r="AB3" s="51">
        <v>42918</v>
      </c>
      <c r="AC3" s="51">
        <v>42925</v>
      </c>
      <c r="AD3" s="51">
        <v>42932</v>
      </c>
      <c r="AE3" s="51">
        <v>42939</v>
      </c>
      <c r="AF3" s="51">
        <v>42946</v>
      </c>
      <c r="AG3" s="51">
        <v>42953</v>
      </c>
      <c r="AH3" s="51">
        <v>42960</v>
      </c>
      <c r="AI3" s="51">
        <v>42967</v>
      </c>
      <c r="AJ3" s="51">
        <v>42974</v>
      </c>
      <c r="AK3" s="51">
        <v>42981</v>
      </c>
      <c r="AL3" s="51">
        <v>42988</v>
      </c>
      <c r="AM3" s="51">
        <v>42995</v>
      </c>
      <c r="AN3" s="51">
        <v>43002</v>
      </c>
      <c r="AO3" s="51">
        <v>43009</v>
      </c>
      <c r="AP3" s="51">
        <v>43016</v>
      </c>
      <c r="AQ3" s="51">
        <v>43023</v>
      </c>
      <c r="AR3" s="51">
        <v>43030</v>
      </c>
      <c r="AS3" s="51">
        <v>43037</v>
      </c>
      <c r="AT3" s="51">
        <v>43044</v>
      </c>
      <c r="AU3" s="51">
        <v>43051</v>
      </c>
      <c r="AV3" s="51">
        <v>43058</v>
      </c>
      <c r="AW3" s="51">
        <v>43065</v>
      </c>
      <c r="AX3" s="51">
        <v>43072</v>
      </c>
      <c r="AY3" s="51">
        <v>43079</v>
      </c>
      <c r="AZ3" s="51">
        <v>43086</v>
      </c>
      <c r="BA3" s="51">
        <v>43093</v>
      </c>
    </row>
    <row r="4" spans="1:53" s="47" customFormat="1" x14ac:dyDescent="0.2">
      <c r="A4" s="73" t="s">
        <v>173</v>
      </c>
    </row>
    <row r="5" spans="1:53" s="47" customFormat="1" x14ac:dyDescent="0.2">
      <c r="A5" s="74" t="s">
        <v>155</v>
      </c>
      <c r="B5" s="75">
        <v>7526</v>
      </c>
      <c r="C5" s="75">
        <v>7955</v>
      </c>
      <c r="D5" s="75">
        <v>8373</v>
      </c>
      <c r="E5" s="75">
        <v>8433</v>
      </c>
      <c r="F5" s="75">
        <v>8229</v>
      </c>
      <c r="G5" s="75">
        <v>8082</v>
      </c>
      <c r="H5" s="75">
        <v>8186</v>
      </c>
      <c r="I5" s="75">
        <v>8596</v>
      </c>
      <c r="J5" s="75">
        <v>8401</v>
      </c>
      <c r="K5" s="75">
        <v>8205</v>
      </c>
      <c r="L5" s="75">
        <v>8289</v>
      </c>
      <c r="M5" s="75">
        <v>8562</v>
      </c>
      <c r="N5" s="75">
        <v>8415</v>
      </c>
      <c r="O5" s="75">
        <v>8625</v>
      </c>
      <c r="P5" s="75">
        <v>8202</v>
      </c>
      <c r="Q5" s="75">
        <v>8905</v>
      </c>
      <c r="R5" s="75">
        <v>8539</v>
      </c>
      <c r="S5" s="75">
        <v>8373</v>
      </c>
      <c r="T5" s="75">
        <v>8215</v>
      </c>
      <c r="U5" s="75">
        <v>8322</v>
      </c>
      <c r="V5" s="75">
        <v>8237</v>
      </c>
      <c r="W5" s="75">
        <v>8188</v>
      </c>
      <c r="X5" s="75">
        <v>8226</v>
      </c>
      <c r="Y5" s="75">
        <v>8030</v>
      </c>
      <c r="Z5" s="75">
        <v>7948</v>
      </c>
      <c r="AA5" s="75">
        <v>8169</v>
      </c>
      <c r="AB5" s="75">
        <v>8037</v>
      </c>
      <c r="AC5" s="75">
        <v>8002</v>
      </c>
      <c r="AD5" s="75">
        <v>8123</v>
      </c>
      <c r="AE5" s="75">
        <v>8314</v>
      </c>
      <c r="AF5" s="75">
        <v>8117</v>
      </c>
      <c r="AG5" s="75">
        <v>7760</v>
      </c>
      <c r="AH5" s="75">
        <v>8198</v>
      </c>
      <c r="AI5" s="75">
        <v>8445</v>
      </c>
      <c r="AJ5" s="75">
        <v>8333</v>
      </c>
      <c r="AK5" s="75">
        <v>8060</v>
      </c>
      <c r="AL5" s="75">
        <v>8446</v>
      </c>
      <c r="AM5" s="75">
        <v>7971</v>
      </c>
      <c r="AN5" s="75">
        <v>8318</v>
      </c>
      <c r="AO5" s="75">
        <v>8179</v>
      </c>
      <c r="AP5" s="75">
        <v>7854</v>
      </c>
      <c r="AQ5" s="75">
        <v>8137</v>
      </c>
      <c r="AR5" s="75">
        <v>8386</v>
      </c>
      <c r="AS5" s="75">
        <v>8296</v>
      </c>
      <c r="AT5" s="75">
        <v>7823</v>
      </c>
      <c r="AU5" s="75">
        <v>7863</v>
      </c>
      <c r="AV5" s="75">
        <v>7892</v>
      </c>
      <c r="AW5" s="75">
        <v>8339</v>
      </c>
      <c r="AX5" s="75">
        <v>8105</v>
      </c>
      <c r="AY5" s="75">
        <v>7678</v>
      </c>
      <c r="AZ5" s="75">
        <v>8072</v>
      </c>
      <c r="BA5" s="75">
        <v>5814</v>
      </c>
    </row>
    <row r="6" spans="1:53" s="47" customFormat="1" x14ac:dyDescent="0.2">
      <c r="A6" s="76" t="s">
        <v>157</v>
      </c>
      <c r="B6" s="13">
        <v>11879</v>
      </c>
      <c r="C6" s="13">
        <v>12264</v>
      </c>
      <c r="D6" s="13">
        <v>12645</v>
      </c>
      <c r="E6" s="13">
        <v>12514</v>
      </c>
      <c r="F6" s="13">
        <v>12586</v>
      </c>
      <c r="G6" s="13">
        <v>11563</v>
      </c>
      <c r="H6" s="13">
        <v>12728</v>
      </c>
      <c r="I6" s="13">
        <v>12280</v>
      </c>
      <c r="J6" s="13">
        <v>12165</v>
      </c>
      <c r="K6" s="13">
        <v>11541</v>
      </c>
      <c r="L6" s="13">
        <v>11963</v>
      </c>
      <c r="M6" s="13">
        <v>12000</v>
      </c>
      <c r="N6" s="13">
        <v>12257</v>
      </c>
      <c r="O6" s="13">
        <v>11372</v>
      </c>
      <c r="P6" s="13">
        <v>11036</v>
      </c>
      <c r="Q6" s="13">
        <v>11424</v>
      </c>
      <c r="R6" s="13">
        <v>11092</v>
      </c>
      <c r="S6" s="13">
        <v>11448</v>
      </c>
      <c r="T6" s="13">
        <v>11159</v>
      </c>
      <c r="U6" s="13">
        <v>11451</v>
      </c>
      <c r="V6" s="13">
        <v>11579</v>
      </c>
      <c r="W6" s="13">
        <v>11048</v>
      </c>
      <c r="X6" s="13">
        <v>11836</v>
      </c>
      <c r="Y6" s="13">
        <v>12074</v>
      </c>
      <c r="Z6" s="13">
        <v>11431</v>
      </c>
      <c r="AA6" s="13">
        <v>12517</v>
      </c>
      <c r="AB6" s="13">
        <v>11077</v>
      </c>
      <c r="AC6" s="13">
        <v>12128</v>
      </c>
      <c r="AD6" s="13">
        <v>11592</v>
      </c>
      <c r="AE6" s="13">
        <v>12332</v>
      </c>
      <c r="AF6" s="13">
        <v>11540</v>
      </c>
      <c r="AG6" s="13">
        <v>11884</v>
      </c>
      <c r="AH6" s="13">
        <v>11430</v>
      </c>
      <c r="AI6" s="13">
        <v>11855</v>
      </c>
      <c r="AJ6" s="13">
        <v>11587</v>
      </c>
      <c r="AK6" s="13">
        <v>10934</v>
      </c>
      <c r="AL6" s="13">
        <v>11965</v>
      </c>
      <c r="AM6" s="13">
        <v>11892</v>
      </c>
      <c r="AN6" s="13">
        <v>11813</v>
      </c>
      <c r="AO6" s="13">
        <v>11389</v>
      </c>
      <c r="AP6" s="13">
        <v>11583</v>
      </c>
      <c r="AQ6" s="13">
        <v>11250</v>
      </c>
      <c r="AR6" s="13">
        <v>11571</v>
      </c>
      <c r="AS6" s="13">
        <v>11361</v>
      </c>
      <c r="AT6" s="13">
        <v>11703</v>
      </c>
      <c r="AU6" s="13">
        <v>12322</v>
      </c>
      <c r="AV6" s="13">
        <v>11388</v>
      </c>
      <c r="AW6" s="13">
        <v>12655</v>
      </c>
      <c r="AX6" s="13">
        <v>12536</v>
      </c>
      <c r="AY6" s="13">
        <v>12653</v>
      </c>
      <c r="AZ6" s="13">
        <v>12564</v>
      </c>
      <c r="BA6" s="13">
        <v>9513</v>
      </c>
    </row>
    <row r="7" spans="1:53" s="47" customFormat="1" x14ac:dyDescent="0.2">
      <c r="A7" s="76" t="s">
        <v>159</v>
      </c>
      <c r="B7" s="13">
        <v>16541</v>
      </c>
      <c r="C7" s="13">
        <v>17444</v>
      </c>
      <c r="D7" s="13">
        <v>18948</v>
      </c>
      <c r="E7" s="13">
        <v>18386</v>
      </c>
      <c r="F7" s="13">
        <v>18342</v>
      </c>
      <c r="G7" s="13">
        <v>18562</v>
      </c>
      <c r="H7" s="13">
        <v>17980</v>
      </c>
      <c r="I7" s="13">
        <v>18722</v>
      </c>
      <c r="J7" s="13">
        <v>17913</v>
      </c>
      <c r="K7" s="13">
        <v>18533</v>
      </c>
      <c r="L7" s="13">
        <v>18364</v>
      </c>
      <c r="M7" s="13">
        <v>18020</v>
      </c>
      <c r="N7" s="13">
        <v>16033</v>
      </c>
      <c r="O7" s="13">
        <v>15668</v>
      </c>
      <c r="P7" s="13">
        <v>20005</v>
      </c>
      <c r="Q7" s="13">
        <v>19135</v>
      </c>
      <c r="R7" s="13">
        <v>19922</v>
      </c>
      <c r="S7" s="13">
        <v>19454</v>
      </c>
      <c r="T7" s="13">
        <v>18002</v>
      </c>
      <c r="U7" s="13">
        <v>18066</v>
      </c>
      <c r="V7" s="13">
        <v>19154</v>
      </c>
      <c r="W7" s="13">
        <v>19462</v>
      </c>
      <c r="X7" s="13">
        <v>19537</v>
      </c>
      <c r="Y7" s="13">
        <v>17911</v>
      </c>
      <c r="Z7" s="13">
        <v>18826</v>
      </c>
      <c r="AA7" s="13">
        <v>19574</v>
      </c>
      <c r="AB7" s="13">
        <v>17790</v>
      </c>
      <c r="AC7" s="13">
        <v>19594</v>
      </c>
      <c r="AD7" s="13">
        <v>18840</v>
      </c>
      <c r="AE7" s="13">
        <v>20222</v>
      </c>
      <c r="AF7" s="13">
        <v>20066</v>
      </c>
      <c r="AG7" s="13">
        <v>20004</v>
      </c>
      <c r="AH7" s="13">
        <v>18308</v>
      </c>
      <c r="AI7" s="13">
        <v>21229</v>
      </c>
      <c r="AJ7" s="13">
        <v>21058</v>
      </c>
      <c r="AK7" s="13">
        <v>20685</v>
      </c>
      <c r="AL7" s="13">
        <v>20256</v>
      </c>
      <c r="AM7" s="13">
        <v>21136</v>
      </c>
      <c r="AN7" s="13">
        <v>20898</v>
      </c>
      <c r="AO7" s="13">
        <v>19205</v>
      </c>
      <c r="AP7" s="13">
        <v>19789</v>
      </c>
      <c r="AQ7" s="13">
        <v>20206</v>
      </c>
      <c r="AR7" s="13">
        <v>20394</v>
      </c>
      <c r="AS7" s="13">
        <v>20890</v>
      </c>
      <c r="AT7" s="13">
        <v>20083</v>
      </c>
      <c r="AU7" s="13">
        <v>19500</v>
      </c>
      <c r="AV7" s="13">
        <v>20273</v>
      </c>
      <c r="AW7" s="13">
        <v>20908</v>
      </c>
      <c r="AX7" s="13">
        <v>19349</v>
      </c>
      <c r="AY7" s="13">
        <v>17864</v>
      </c>
      <c r="AZ7" s="13">
        <v>20665</v>
      </c>
      <c r="BA7" s="13">
        <v>16470</v>
      </c>
    </row>
    <row r="8" spans="1:53" s="47" customFormat="1" x14ac:dyDescent="0.2">
      <c r="A8" s="76" t="s">
        <v>161</v>
      </c>
      <c r="B8" s="13">
        <v>3675</v>
      </c>
      <c r="C8" s="13">
        <v>4526</v>
      </c>
      <c r="D8" s="13">
        <v>4952</v>
      </c>
      <c r="E8" s="13">
        <v>5200</v>
      </c>
      <c r="F8" s="13">
        <v>5106</v>
      </c>
      <c r="G8" s="13">
        <v>5030</v>
      </c>
      <c r="H8" s="13">
        <v>5832</v>
      </c>
      <c r="I8" s="13">
        <v>5447</v>
      </c>
      <c r="J8" s="13">
        <v>5273</v>
      </c>
      <c r="K8" s="13">
        <v>5270</v>
      </c>
      <c r="L8" s="13">
        <v>5707</v>
      </c>
      <c r="M8" s="13">
        <v>5931</v>
      </c>
      <c r="N8" s="13">
        <v>5532</v>
      </c>
      <c r="O8" s="13">
        <v>5556</v>
      </c>
      <c r="P8" s="13">
        <v>5519</v>
      </c>
      <c r="Q8" s="13">
        <v>5591</v>
      </c>
      <c r="R8" s="13">
        <v>6134</v>
      </c>
      <c r="S8" s="13">
        <v>6067</v>
      </c>
      <c r="T8" s="13">
        <v>5885</v>
      </c>
      <c r="U8" s="13">
        <v>5785</v>
      </c>
      <c r="V8" s="13">
        <v>5628</v>
      </c>
      <c r="W8" s="13">
        <v>5297</v>
      </c>
      <c r="X8" s="13">
        <v>5705</v>
      </c>
      <c r="Y8" s="13">
        <v>5681</v>
      </c>
      <c r="Z8" s="13">
        <v>5903</v>
      </c>
      <c r="AA8" s="13">
        <v>5434</v>
      </c>
      <c r="AB8" s="13">
        <v>4121</v>
      </c>
      <c r="AC8" s="13">
        <v>3628</v>
      </c>
      <c r="AD8" s="13">
        <v>4507</v>
      </c>
      <c r="AE8" s="13">
        <v>4847</v>
      </c>
      <c r="AF8" s="13">
        <v>4724</v>
      </c>
      <c r="AG8" s="13">
        <v>5002</v>
      </c>
      <c r="AH8" s="13">
        <v>5211</v>
      </c>
      <c r="AI8" s="13">
        <v>5201</v>
      </c>
      <c r="AJ8" s="13">
        <v>5405</v>
      </c>
      <c r="AK8" s="13">
        <v>4797</v>
      </c>
      <c r="AL8" s="13">
        <v>5430</v>
      </c>
      <c r="AM8" s="13">
        <v>5023</v>
      </c>
      <c r="AN8" s="13">
        <v>5217</v>
      </c>
      <c r="AO8" s="13">
        <v>4851</v>
      </c>
      <c r="AP8" s="13">
        <v>4808</v>
      </c>
      <c r="AQ8" s="13">
        <v>5084</v>
      </c>
      <c r="AR8" s="13">
        <v>4912</v>
      </c>
      <c r="AS8" s="13">
        <v>5043</v>
      </c>
      <c r="AT8" s="13">
        <v>5008</v>
      </c>
      <c r="AU8" s="13">
        <v>5181</v>
      </c>
      <c r="AV8" s="13">
        <v>4810</v>
      </c>
      <c r="AW8" s="13">
        <v>5483</v>
      </c>
      <c r="AX8" s="13">
        <v>5583</v>
      </c>
      <c r="AY8" s="13">
        <v>4726</v>
      </c>
      <c r="AZ8" s="13">
        <v>4972</v>
      </c>
      <c r="BA8" s="13">
        <v>2770</v>
      </c>
    </row>
    <row r="9" spans="1:53" s="47" customFormat="1" x14ac:dyDescent="0.2">
      <c r="A9" s="76" t="s">
        <v>163</v>
      </c>
      <c r="B9" s="13">
        <v>5336</v>
      </c>
      <c r="C9" s="13">
        <v>5475</v>
      </c>
      <c r="D9" s="13">
        <v>6281</v>
      </c>
      <c r="E9" s="13">
        <v>5615</v>
      </c>
      <c r="F9" s="13">
        <v>5944</v>
      </c>
      <c r="G9" s="13">
        <v>5559</v>
      </c>
      <c r="H9" s="13">
        <v>5934</v>
      </c>
      <c r="I9" s="13">
        <v>5237</v>
      </c>
      <c r="J9" s="13">
        <v>5352</v>
      </c>
      <c r="K9" s="13">
        <v>5425</v>
      </c>
      <c r="L9" s="13">
        <v>5550</v>
      </c>
      <c r="M9" s="13">
        <v>5263</v>
      </c>
      <c r="N9" s="13">
        <v>5835</v>
      </c>
      <c r="O9" s="13">
        <v>6089</v>
      </c>
      <c r="P9" s="13">
        <v>5964</v>
      </c>
      <c r="Q9" s="13">
        <v>6062</v>
      </c>
      <c r="R9" s="13">
        <v>5733</v>
      </c>
      <c r="S9" s="13">
        <v>4663</v>
      </c>
      <c r="T9" s="13">
        <v>4588</v>
      </c>
      <c r="U9" s="13">
        <v>5530</v>
      </c>
      <c r="V9" s="13">
        <v>4921</v>
      </c>
      <c r="W9" s="13">
        <v>5242</v>
      </c>
      <c r="X9" s="13">
        <v>5039</v>
      </c>
      <c r="Y9" s="13">
        <v>5768</v>
      </c>
      <c r="Z9" s="13">
        <v>5853</v>
      </c>
      <c r="AA9" s="13">
        <v>6020</v>
      </c>
      <c r="AB9" s="13">
        <v>6706</v>
      </c>
      <c r="AC9" s="13">
        <v>6354</v>
      </c>
      <c r="AD9" s="13">
        <v>5770</v>
      </c>
      <c r="AE9" s="13">
        <v>5996</v>
      </c>
      <c r="AF9" s="13">
        <v>6313</v>
      </c>
      <c r="AG9" s="13">
        <v>5360</v>
      </c>
      <c r="AH9" s="13">
        <v>6997</v>
      </c>
      <c r="AI9" s="13">
        <v>6071</v>
      </c>
      <c r="AJ9" s="13">
        <v>6726</v>
      </c>
      <c r="AK9" s="13">
        <v>6995</v>
      </c>
      <c r="AL9" s="13">
        <v>6564</v>
      </c>
      <c r="AM9" s="13">
        <v>5623</v>
      </c>
      <c r="AN9" s="13">
        <v>6696</v>
      </c>
      <c r="AO9" s="13">
        <v>6397</v>
      </c>
      <c r="AP9" s="13">
        <v>5663</v>
      </c>
      <c r="AQ9" s="13">
        <v>6086</v>
      </c>
      <c r="AR9" s="13">
        <v>5539</v>
      </c>
      <c r="AS9" s="13">
        <v>5882</v>
      </c>
      <c r="AT9" s="13">
        <v>5421</v>
      </c>
      <c r="AU9" s="13">
        <v>5819</v>
      </c>
      <c r="AV9" s="13">
        <v>5408</v>
      </c>
      <c r="AW9" s="13">
        <v>5692</v>
      </c>
      <c r="AX9" s="13">
        <v>6245</v>
      </c>
      <c r="AY9" s="13">
        <v>7192</v>
      </c>
      <c r="AZ9" s="13">
        <v>6490</v>
      </c>
      <c r="BA9" s="13">
        <v>4255</v>
      </c>
    </row>
    <row r="10" spans="1:53" s="47" customFormat="1" x14ac:dyDescent="0.2">
      <c r="A10" s="77" t="s">
        <v>165</v>
      </c>
      <c r="B10" s="75">
        <v>11599</v>
      </c>
      <c r="C10" s="75">
        <v>12517</v>
      </c>
      <c r="D10" s="75">
        <v>12839</v>
      </c>
      <c r="E10" s="75">
        <v>11840</v>
      </c>
      <c r="F10" s="75">
        <v>12965</v>
      </c>
      <c r="G10" s="75">
        <v>11972</v>
      </c>
      <c r="H10" s="75">
        <v>12621</v>
      </c>
      <c r="I10" s="75">
        <v>12535</v>
      </c>
      <c r="J10" s="75">
        <v>13830</v>
      </c>
      <c r="K10" s="75">
        <v>11760</v>
      </c>
      <c r="L10" s="75">
        <v>14342</v>
      </c>
      <c r="M10" s="75">
        <v>13987</v>
      </c>
      <c r="N10" s="75">
        <v>13018</v>
      </c>
      <c r="O10" s="75">
        <v>13525</v>
      </c>
      <c r="P10" s="75">
        <v>13319</v>
      </c>
      <c r="Q10" s="75">
        <v>11721</v>
      </c>
      <c r="R10" s="75">
        <v>11946</v>
      </c>
      <c r="S10" s="75">
        <v>12211</v>
      </c>
      <c r="T10" s="75">
        <v>12835</v>
      </c>
      <c r="U10" s="75">
        <v>11367</v>
      </c>
      <c r="V10" s="75">
        <v>10790</v>
      </c>
      <c r="W10" s="75">
        <v>10076</v>
      </c>
      <c r="X10" s="75">
        <v>10652</v>
      </c>
      <c r="Y10" s="75">
        <v>10140</v>
      </c>
      <c r="Z10" s="75">
        <v>9999</v>
      </c>
      <c r="AA10" s="75">
        <v>10339</v>
      </c>
      <c r="AB10" s="75">
        <v>10198</v>
      </c>
      <c r="AC10" s="75">
        <v>10275</v>
      </c>
      <c r="AD10" s="75">
        <v>10481</v>
      </c>
      <c r="AE10" s="75">
        <v>11018</v>
      </c>
      <c r="AF10" s="75">
        <v>9746</v>
      </c>
      <c r="AG10" s="75">
        <v>9632</v>
      </c>
      <c r="AH10" s="75">
        <v>10281</v>
      </c>
      <c r="AI10" s="75">
        <v>9971</v>
      </c>
      <c r="AJ10" s="75">
        <v>10862</v>
      </c>
      <c r="AK10" s="75">
        <v>11960</v>
      </c>
      <c r="AL10" s="75">
        <v>13276</v>
      </c>
      <c r="AM10" s="75">
        <v>11901</v>
      </c>
      <c r="AN10" s="75">
        <v>13415</v>
      </c>
      <c r="AO10" s="75">
        <v>14413</v>
      </c>
      <c r="AP10" s="75">
        <v>13166</v>
      </c>
      <c r="AQ10" s="75">
        <v>13275</v>
      </c>
      <c r="AR10" s="75">
        <v>12769</v>
      </c>
      <c r="AS10" s="75">
        <v>12177</v>
      </c>
      <c r="AT10" s="75">
        <v>12489</v>
      </c>
      <c r="AU10" s="75">
        <v>12627</v>
      </c>
      <c r="AV10" s="75">
        <v>11092</v>
      </c>
      <c r="AW10" s="75">
        <v>12032</v>
      </c>
      <c r="AX10" s="75">
        <v>11443</v>
      </c>
      <c r="AY10" s="75">
        <v>13637</v>
      </c>
      <c r="AZ10" s="75">
        <v>12104</v>
      </c>
      <c r="BA10" s="75">
        <v>9414</v>
      </c>
    </row>
    <row r="11" spans="1:53" s="47" customFormat="1" x14ac:dyDescent="0.2">
      <c r="A11" s="76" t="s">
        <v>167</v>
      </c>
      <c r="B11" s="13">
        <v>36996</v>
      </c>
      <c r="C11" s="13">
        <v>43545</v>
      </c>
      <c r="D11" s="13">
        <v>46436</v>
      </c>
      <c r="E11" s="13">
        <v>46819</v>
      </c>
      <c r="F11" s="13">
        <v>47411</v>
      </c>
      <c r="G11" s="13">
        <v>44387</v>
      </c>
      <c r="H11" s="13">
        <v>43949</v>
      </c>
      <c r="I11" s="13">
        <v>47037</v>
      </c>
      <c r="J11" s="13">
        <v>42869</v>
      </c>
      <c r="K11" s="13">
        <v>41564</v>
      </c>
      <c r="L11" s="13">
        <v>42921</v>
      </c>
      <c r="M11" s="13">
        <v>43961</v>
      </c>
      <c r="N11" s="13">
        <v>45877</v>
      </c>
      <c r="O11" s="13">
        <v>44813</v>
      </c>
      <c r="P11" s="13">
        <v>44885</v>
      </c>
      <c r="Q11" s="13">
        <v>47531</v>
      </c>
      <c r="R11" s="13">
        <v>47098</v>
      </c>
      <c r="S11" s="13">
        <v>48358</v>
      </c>
      <c r="T11" s="13">
        <v>50165</v>
      </c>
      <c r="U11" s="13">
        <v>49260</v>
      </c>
      <c r="V11" s="13">
        <v>47156</v>
      </c>
      <c r="W11" s="13">
        <v>49218</v>
      </c>
      <c r="X11" s="13">
        <v>50863</v>
      </c>
      <c r="Y11" s="13">
        <v>49899</v>
      </c>
      <c r="Z11" s="13">
        <v>49104</v>
      </c>
      <c r="AA11" s="13">
        <v>49173</v>
      </c>
      <c r="AB11" s="13">
        <v>46995</v>
      </c>
      <c r="AC11" s="13">
        <v>49937</v>
      </c>
      <c r="AD11" s="13">
        <v>50125</v>
      </c>
      <c r="AE11" s="13">
        <v>53075</v>
      </c>
      <c r="AF11" s="13">
        <v>50737</v>
      </c>
      <c r="AG11" s="13">
        <v>53244</v>
      </c>
      <c r="AH11" s="13">
        <v>52935</v>
      </c>
      <c r="AI11" s="13">
        <v>52314</v>
      </c>
      <c r="AJ11" s="13">
        <v>50180</v>
      </c>
      <c r="AK11" s="13">
        <v>46055</v>
      </c>
      <c r="AL11" s="13">
        <v>52999</v>
      </c>
      <c r="AM11" s="13">
        <v>53324</v>
      </c>
      <c r="AN11" s="13">
        <v>53127</v>
      </c>
      <c r="AO11" s="13">
        <v>52396</v>
      </c>
      <c r="AP11" s="13">
        <v>52047</v>
      </c>
      <c r="AQ11" s="13">
        <v>51474</v>
      </c>
      <c r="AR11" s="13">
        <v>49468</v>
      </c>
      <c r="AS11" s="13">
        <v>49720</v>
      </c>
      <c r="AT11" s="13">
        <v>50283</v>
      </c>
      <c r="AU11" s="13">
        <v>50921</v>
      </c>
      <c r="AV11" s="13">
        <v>46608</v>
      </c>
      <c r="AW11" s="13">
        <v>52092</v>
      </c>
      <c r="AX11" s="13">
        <v>50514</v>
      </c>
      <c r="AY11" s="13">
        <v>50579</v>
      </c>
      <c r="AZ11" s="13">
        <v>49756</v>
      </c>
      <c r="BA11" s="13">
        <v>36964</v>
      </c>
    </row>
    <row r="12" spans="1:53" s="47" customFormat="1" ht="13.5" thickBot="1" x14ac:dyDescent="0.25">
      <c r="A12" s="78" t="s">
        <v>174</v>
      </c>
      <c r="B12" s="23">
        <v>93552</v>
      </c>
      <c r="C12" s="23">
        <v>103726</v>
      </c>
      <c r="D12" s="23">
        <v>110474</v>
      </c>
      <c r="E12" s="23">
        <v>108807</v>
      </c>
      <c r="F12" s="23">
        <v>110583</v>
      </c>
      <c r="G12" s="23">
        <v>105155</v>
      </c>
      <c r="H12" s="23">
        <v>107230</v>
      </c>
      <c r="I12" s="23">
        <v>109854</v>
      </c>
      <c r="J12" s="23">
        <v>105803</v>
      </c>
      <c r="K12" s="23">
        <v>102298</v>
      </c>
      <c r="L12" s="23">
        <v>107136</v>
      </c>
      <c r="M12" s="23">
        <v>107724</v>
      </c>
      <c r="N12" s="23">
        <v>106967</v>
      </c>
      <c r="O12" s="23">
        <v>105648</v>
      </c>
      <c r="P12" s="23">
        <v>108930</v>
      </c>
      <c r="Q12" s="23">
        <v>110369</v>
      </c>
      <c r="R12" s="23">
        <v>110464</v>
      </c>
      <c r="S12" s="23">
        <v>110574</v>
      </c>
      <c r="T12" s="23">
        <v>110849</v>
      </c>
      <c r="U12" s="23">
        <v>109781</v>
      </c>
      <c r="V12" s="23">
        <v>107465</v>
      </c>
      <c r="W12" s="23">
        <v>108531</v>
      </c>
      <c r="X12" s="23">
        <v>111858</v>
      </c>
      <c r="Y12" s="23">
        <v>109503</v>
      </c>
      <c r="Z12" s="23">
        <v>109064</v>
      </c>
      <c r="AA12" s="23">
        <v>111226</v>
      </c>
      <c r="AB12" s="23">
        <v>104924</v>
      </c>
      <c r="AC12" s="23">
        <v>109918</v>
      </c>
      <c r="AD12" s="23">
        <v>109438</v>
      </c>
      <c r="AE12" s="23">
        <v>115804</v>
      </c>
      <c r="AF12" s="23">
        <v>111243</v>
      </c>
      <c r="AG12" s="23">
        <v>112886</v>
      </c>
      <c r="AH12" s="23">
        <v>113360</v>
      </c>
      <c r="AI12" s="23">
        <v>115086</v>
      </c>
      <c r="AJ12" s="23">
        <v>114151</v>
      </c>
      <c r="AK12" s="23">
        <v>109486</v>
      </c>
      <c r="AL12" s="23">
        <v>118936</v>
      </c>
      <c r="AM12" s="23">
        <v>116870</v>
      </c>
      <c r="AN12" s="23">
        <v>119484</v>
      </c>
      <c r="AO12" s="23">
        <v>116830</v>
      </c>
      <c r="AP12" s="23">
        <v>114910</v>
      </c>
      <c r="AQ12" s="23">
        <v>115512</v>
      </c>
      <c r="AR12" s="23">
        <v>113039</v>
      </c>
      <c r="AS12" s="23">
        <v>113369</v>
      </c>
      <c r="AT12" s="23">
        <v>112810</v>
      </c>
      <c r="AU12" s="23">
        <v>114233</v>
      </c>
      <c r="AV12" s="23">
        <v>107471</v>
      </c>
      <c r="AW12" s="23">
        <v>117201</v>
      </c>
      <c r="AX12" s="23">
        <v>113775</v>
      </c>
      <c r="AY12" s="23">
        <v>114329</v>
      </c>
      <c r="AZ12" s="23">
        <v>114623</v>
      </c>
      <c r="BA12" s="23">
        <v>85200</v>
      </c>
    </row>
    <row r="13" spans="1:53" s="47" customFormat="1" ht="13.5" thickTop="1" x14ac:dyDescent="0.2">
      <c r="A13" s="76"/>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row>
    <row r="14" spans="1:53" s="47" customFormat="1" x14ac:dyDescent="0.2">
      <c r="A14" s="73" t="s">
        <v>175</v>
      </c>
    </row>
    <row r="15" spans="1:53" s="47" customFormat="1" x14ac:dyDescent="0.2">
      <c r="A15" s="74" t="s">
        <v>155</v>
      </c>
      <c r="B15" s="75">
        <v>528.60240899999997</v>
      </c>
      <c r="C15" s="75">
        <v>569.387742</v>
      </c>
      <c r="D15" s="75">
        <v>603.18246299999998</v>
      </c>
      <c r="E15" s="75">
        <v>602.28047700000002</v>
      </c>
      <c r="F15" s="75">
        <v>590.07122500000003</v>
      </c>
      <c r="G15" s="75">
        <v>574.99958000000004</v>
      </c>
      <c r="H15" s="75">
        <v>606.57739200000003</v>
      </c>
      <c r="I15" s="75">
        <v>618.62244199999998</v>
      </c>
      <c r="J15" s="75">
        <v>600.73270500000001</v>
      </c>
      <c r="K15" s="75">
        <v>591.14664900000002</v>
      </c>
      <c r="L15" s="75">
        <v>601.69693400000006</v>
      </c>
      <c r="M15" s="75">
        <v>632.90406499999995</v>
      </c>
      <c r="N15" s="75">
        <v>613.31823999999995</v>
      </c>
      <c r="O15" s="75">
        <v>634.60866299999998</v>
      </c>
      <c r="P15" s="75">
        <v>603.01845000000003</v>
      </c>
      <c r="Q15" s="75">
        <v>669.20478000000003</v>
      </c>
      <c r="R15" s="75">
        <v>631.89639599999998</v>
      </c>
      <c r="S15" s="75">
        <v>582.33879000000002</v>
      </c>
      <c r="T15" s="75">
        <v>581.81623400000001</v>
      </c>
      <c r="U15" s="75">
        <v>585.38461500000005</v>
      </c>
      <c r="V15" s="75">
        <v>562.96881800000006</v>
      </c>
      <c r="W15" s="75">
        <v>587.34895400000005</v>
      </c>
      <c r="X15" s="75">
        <v>598.80693299999996</v>
      </c>
      <c r="Y15" s="75">
        <v>593.27917200000002</v>
      </c>
      <c r="Z15" s="75">
        <v>586.80774899999994</v>
      </c>
      <c r="AA15" s="75">
        <v>562.75365699999998</v>
      </c>
      <c r="AB15" s="75">
        <v>572.57746299999997</v>
      </c>
      <c r="AC15" s="75">
        <v>577.83857</v>
      </c>
      <c r="AD15" s="75">
        <v>582.45507599999996</v>
      </c>
      <c r="AE15" s="75">
        <v>577.86970499999995</v>
      </c>
      <c r="AF15" s="75">
        <v>555.01317900000004</v>
      </c>
      <c r="AG15" s="75">
        <v>527.72481600000003</v>
      </c>
      <c r="AH15" s="75">
        <v>607.26464799999997</v>
      </c>
      <c r="AI15" s="75">
        <v>601.80260499999997</v>
      </c>
      <c r="AJ15" s="75">
        <v>601.22922500000004</v>
      </c>
      <c r="AK15" s="75">
        <v>556.146387</v>
      </c>
      <c r="AL15" s="75">
        <v>615.95215900000005</v>
      </c>
      <c r="AM15" s="75">
        <v>587.69223499999998</v>
      </c>
      <c r="AN15" s="75">
        <v>605.31533999999999</v>
      </c>
      <c r="AO15" s="75">
        <v>582.82383100000004</v>
      </c>
      <c r="AP15" s="75">
        <v>578.07697099999996</v>
      </c>
      <c r="AQ15" s="75">
        <v>613.15022699999997</v>
      </c>
      <c r="AR15" s="75">
        <v>607.25059799999997</v>
      </c>
      <c r="AS15" s="75">
        <v>602.06673799999999</v>
      </c>
      <c r="AT15" s="75">
        <v>552.55806199999995</v>
      </c>
      <c r="AU15" s="75">
        <v>564.67492200000004</v>
      </c>
      <c r="AV15" s="75">
        <v>575.20004800000004</v>
      </c>
      <c r="AW15" s="75">
        <v>580.16612099999998</v>
      </c>
      <c r="AX15" s="75">
        <v>596.65918699999997</v>
      </c>
      <c r="AY15" s="75">
        <v>582.20462399999997</v>
      </c>
      <c r="AZ15" s="75">
        <v>576.22853299999997</v>
      </c>
      <c r="BA15" s="75">
        <v>384</v>
      </c>
    </row>
    <row r="16" spans="1:53" s="47" customFormat="1" x14ac:dyDescent="0.2">
      <c r="A16" s="76" t="s">
        <v>157</v>
      </c>
      <c r="B16" s="13">
        <v>916.646388</v>
      </c>
      <c r="C16" s="13">
        <v>903.83746900000006</v>
      </c>
      <c r="D16" s="13">
        <v>936.56452400000001</v>
      </c>
      <c r="E16" s="13">
        <v>905.62005999999997</v>
      </c>
      <c r="F16" s="13">
        <v>963.91217200000006</v>
      </c>
      <c r="G16" s="13">
        <v>800.37041299999999</v>
      </c>
      <c r="H16" s="13">
        <v>992.804438</v>
      </c>
      <c r="I16" s="13">
        <v>882.14118399999995</v>
      </c>
      <c r="J16" s="13">
        <v>964.27917100000002</v>
      </c>
      <c r="K16" s="13">
        <v>851.71743000000004</v>
      </c>
      <c r="L16" s="13">
        <v>960.22502099999997</v>
      </c>
      <c r="M16" s="13">
        <v>866.37351899999999</v>
      </c>
      <c r="N16" s="13">
        <v>969.57662400000004</v>
      </c>
      <c r="O16" s="13">
        <v>855.47079799999995</v>
      </c>
      <c r="P16" s="13">
        <v>847.61395200000004</v>
      </c>
      <c r="Q16" s="13">
        <v>848.78302499999995</v>
      </c>
      <c r="R16" s="13">
        <v>821.90342399999997</v>
      </c>
      <c r="S16" s="13">
        <v>855.73868400000003</v>
      </c>
      <c r="T16" s="13">
        <v>818.01866800000005</v>
      </c>
      <c r="U16" s="13">
        <v>829.95615399999997</v>
      </c>
      <c r="V16" s="13">
        <v>876.21533399999998</v>
      </c>
      <c r="W16" s="13">
        <v>804.37435300000004</v>
      </c>
      <c r="X16" s="13">
        <v>913.02821100000006</v>
      </c>
      <c r="Y16" s="13">
        <v>912.71045500000002</v>
      </c>
      <c r="Z16" s="13">
        <v>767.906023</v>
      </c>
      <c r="AA16" s="13">
        <v>942.82388200000003</v>
      </c>
      <c r="AB16" s="13">
        <v>760.88100199999997</v>
      </c>
      <c r="AC16" s="13">
        <v>863.19603900000004</v>
      </c>
      <c r="AD16" s="13">
        <v>775.71776699999998</v>
      </c>
      <c r="AE16" s="13">
        <v>858.04134999999997</v>
      </c>
      <c r="AF16" s="13">
        <v>782.63964099999998</v>
      </c>
      <c r="AG16" s="13">
        <v>800.58980599999995</v>
      </c>
      <c r="AH16" s="13">
        <v>766.09207800000001</v>
      </c>
      <c r="AI16" s="13">
        <v>833.33619999999996</v>
      </c>
      <c r="AJ16" s="13">
        <v>828.19889899999998</v>
      </c>
      <c r="AK16" s="13">
        <v>784.60699699999998</v>
      </c>
      <c r="AL16" s="13">
        <v>856.22151799999995</v>
      </c>
      <c r="AM16" s="13">
        <v>894.29987400000005</v>
      </c>
      <c r="AN16" s="13">
        <v>861.33375599999999</v>
      </c>
      <c r="AO16" s="13">
        <v>782.29487900000004</v>
      </c>
      <c r="AP16" s="13">
        <v>849.10957800000006</v>
      </c>
      <c r="AQ16" s="13">
        <v>782.12391600000001</v>
      </c>
      <c r="AR16" s="13">
        <v>794.005673</v>
      </c>
      <c r="AS16" s="13">
        <v>759.11300000000006</v>
      </c>
      <c r="AT16" s="13">
        <v>787.572765</v>
      </c>
      <c r="AU16" s="13">
        <v>825.97483099999999</v>
      </c>
      <c r="AV16" s="13">
        <v>801.69326000000001</v>
      </c>
      <c r="AW16" s="13">
        <v>879.30578400000002</v>
      </c>
      <c r="AX16" s="13">
        <v>850.08009700000002</v>
      </c>
      <c r="AY16" s="13">
        <v>918.88367700000003</v>
      </c>
      <c r="AZ16" s="13">
        <v>872.29218100000003</v>
      </c>
      <c r="BA16" s="13">
        <v>650</v>
      </c>
    </row>
    <row r="17" spans="1:53" s="47" customFormat="1" x14ac:dyDescent="0.2">
      <c r="A17" s="76" t="s">
        <v>159</v>
      </c>
      <c r="B17" s="13">
        <v>389.885087</v>
      </c>
      <c r="C17" s="13">
        <v>449.03159399999998</v>
      </c>
      <c r="D17" s="13">
        <v>485.46996799999999</v>
      </c>
      <c r="E17" s="13">
        <v>524.72463800000003</v>
      </c>
      <c r="F17" s="13">
        <v>494.78021999999999</v>
      </c>
      <c r="G17" s="13">
        <v>530.42883800000004</v>
      </c>
      <c r="H17" s="13">
        <v>459.26405</v>
      </c>
      <c r="I17" s="13">
        <v>539.88459799999998</v>
      </c>
      <c r="J17" s="13">
        <v>544.49338399999999</v>
      </c>
      <c r="K17" s="13">
        <v>551.55039099999999</v>
      </c>
      <c r="L17" s="13">
        <v>476.44347699999997</v>
      </c>
      <c r="M17" s="13">
        <v>499.730952</v>
      </c>
      <c r="N17" s="13">
        <v>544.25799099999995</v>
      </c>
      <c r="O17" s="13">
        <v>551.49452499999995</v>
      </c>
      <c r="P17" s="13">
        <v>463.457154</v>
      </c>
      <c r="Q17" s="13">
        <v>431.75632400000001</v>
      </c>
      <c r="R17" s="13">
        <v>496.913546</v>
      </c>
      <c r="S17" s="13">
        <v>478.96307300000001</v>
      </c>
      <c r="T17" s="13">
        <v>477.31503099999998</v>
      </c>
      <c r="U17" s="13">
        <v>482.623897</v>
      </c>
      <c r="V17" s="13">
        <v>501.02100799999999</v>
      </c>
      <c r="W17" s="13">
        <v>547.47824400000002</v>
      </c>
      <c r="X17" s="13">
        <v>607.41388300000006</v>
      </c>
      <c r="Y17" s="13">
        <v>580.55947400000002</v>
      </c>
      <c r="Z17" s="13">
        <v>606.01517699999999</v>
      </c>
      <c r="AA17" s="13">
        <v>651.78058599999997</v>
      </c>
      <c r="AB17" s="13">
        <v>519.33557099999996</v>
      </c>
      <c r="AC17" s="13">
        <v>602.38288799999998</v>
      </c>
      <c r="AD17" s="13">
        <v>590.85558300000002</v>
      </c>
      <c r="AE17" s="13">
        <v>651.94005200000004</v>
      </c>
      <c r="AF17" s="13">
        <v>566.27597700000001</v>
      </c>
      <c r="AG17" s="13">
        <v>559.35380699999996</v>
      </c>
      <c r="AH17" s="13">
        <v>617.92992600000002</v>
      </c>
      <c r="AI17" s="13">
        <v>580.14034100000003</v>
      </c>
      <c r="AJ17" s="13">
        <v>595.01637400000004</v>
      </c>
      <c r="AK17" s="13">
        <v>642.75737500000002</v>
      </c>
      <c r="AL17" s="13">
        <v>646.33654899999999</v>
      </c>
      <c r="AM17" s="13">
        <v>610.64498600000002</v>
      </c>
      <c r="AN17" s="13">
        <v>547.62002399999994</v>
      </c>
      <c r="AO17" s="13">
        <v>557.06806800000004</v>
      </c>
      <c r="AP17" s="13">
        <v>505.59487200000001</v>
      </c>
      <c r="AQ17" s="13">
        <v>549.71865100000002</v>
      </c>
      <c r="AR17" s="13">
        <v>533.52552400000002</v>
      </c>
      <c r="AS17" s="13">
        <v>550.46152500000005</v>
      </c>
      <c r="AT17" s="13">
        <v>557.62655299999994</v>
      </c>
      <c r="AU17" s="13">
        <v>558.237799</v>
      </c>
      <c r="AV17" s="13">
        <v>515.72658000000001</v>
      </c>
      <c r="AW17" s="13">
        <v>583.97880999999995</v>
      </c>
      <c r="AX17" s="13">
        <v>463.99305500000003</v>
      </c>
      <c r="AY17" s="13">
        <v>460.36676899999998</v>
      </c>
      <c r="AZ17" s="13">
        <v>504.44290100000001</v>
      </c>
      <c r="BA17" s="13">
        <v>393</v>
      </c>
    </row>
    <row r="18" spans="1:53" s="47" customFormat="1" x14ac:dyDescent="0.2">
      <c r="A18" s="76" t="s">
        <v>161</v>
      </c>
      <c r="B18" s="13">
        <v>53.943002999999997</v>
      </c>
      <c r="C18" s="13">
        <v>64.991032000000004</v>
      </c>
      <c r="D18" s="13">
        <v>80.917585000000003</v>
      </c>
      <c r="E18" s="13">
        <v>77.229698999999997</v>
      </c>
      <c r="F18" s="13">
        <v>77.200198999999998</v>
      </c>
      <c r="G18" s="13">
        <v>74.570125000000004</v>
      </c>
      <c r="H18" s="13">
        <v>87.254679999999993</v>
      </c>
      <c r="I18" s="13">
        <v>84.380908000000005</v>
      </c>
      <c r="J18" s="13">
        <v>81.021092999999993</v>
      </c>
      <c r="K18" s="13">
        <v>83.967911000000001</v>
      </c>
      <c r="L18" s="13">
        <v>89.159700000000001</v>
      </c>
      <c r="M18" s="13">
        <v>96.988681999999997</v>
      </c>
      <c r="N18" s="13">
        <v>83.882047</v>
      </c>
      <c r="O18" s="13">
        <v>87.235872000000001</v>
      </c>
      <c r="P18" s="13">
        <v>89.981410999999994</v>
      </c>
      <c r="Q18" s="13">
        <v>90.080545999999998</v>
      </c>
      <c r="R18" s="13">
        <v>95.479512</v>
      </c>
      <c r="S18" s="13">
        <v>100.39551</v>
      </c>
      <c r="T18" s="13">
        <v>94.884364000000005</v>
      </c>
      <c r="U18" s="13">
        <v>92.225364999999996</v>
      </c>
      <c r="V18" s="13">
        <v>88.975494999999995</v>
      </c>
      <c r="W18" s="13">
        <v>86.785393999999997</v>
      </c>
      <c r="X18" s="13">
        <v>94.416332999999995</v>
      </c>
      <c r="Y18" s="13">
        <v>96.213237000000007</v>
      </c>
      <c r="Z18" s="13">
        <v>100.466464</v>
      </c>
      <c r="AA18" s="13">
        <v>83.107550000000003</v>
      </c>
      <c r="AB18" s="13">
        <v>79.182250999999994</v>
      </c>
      <c r="AC18" s="13">
        <v>70.818849</v>
      </c>
      <c r="AD18" s="13">
        <v>80.034591000000006</v>
      </c>
      <c r="AE18" s="13">
        <v>89.257767000000001</v>
      </c>
      <c r="AF18" s="13">
        <v>84.932276000000002</v>
      </c>
      <c r="AG18" s="13">
        <v>86.335196999999994</v>
      </c>
      <c r="AH18" s="13">
        <v>82.375538000000006</v>
      </c>
      <c r="AI18" s="13">
        <v>76.436395000000005</v>
      </c>
      <c r="AJ18" s="13">
        <v>90.156512000000006</v>
      </c>
      <c r="AK18" s="13">
        <v>76.178044</v>
      </c>
      <c r="AL18" s="13">
        <v>89.047539</v>
      </c>
      <c r="AM18" s="13">
        <v>86.491865000000004</v>
      </c>
      <c r="AN18" s="13">
        <v>83.647253000000006</v>
      </c>
      <c r="AO18" s="13">
        <v>72.795714000000004</v>
      </c>
      <c r="AP18" s="13">
        <v>74.648619999999994</v>
      </c>
      <c r="AQ18" s="13">
        <v>72.432723999999993</v>
      </c>
      <c r="AR18" s="13">
        <v>70.677306999999999</v>
      </c>
      <c r="AS18" s="13">
        <v>66.988159999999993</v>
      </c>
      <c r="AT18" s="13">
        <v>76.971288000000001</v>
      </c>
      <c r="AU18" s="13">
        <v>80.649192999999997</v>
      </c>
      <c r="AV18" s="13">
        <v>73.251998</v>
      </c>
      <c r="AW18" s="13">
        <v>79.929434999999998</v>
      </c>
      <c r="AX18" s="13">
        <v>78.969612999999995</v>
      </c>
      <c r="AY18" s="13">
        <v>72.671021999999994</v>
      </c>
      <c r="AZ18" s="13">
        <v>72.308178999999996</v>
      </c>
      <c r="BA18" s="13">
        <v>48</v>
      </c>
    </row>
    <row r="19" spans="1:53" s="47" customFormat="1" x14ac:dyDescent="0.2">
      <c r="A19" s="76" t="s">
        <v>163</v>
      </c>
      <c r="B19" s="13">
        <v>259.52723800000001</v>
      </c>
      <c r="C19" s="13">
        <v>235.16217</v>
      </c>
      <c r="D19" s="13">
        <v>264.77144500000003</v>
      </c>
      <c r="E19" s="13">
        <v>285.58362299999999</v>
      </c>
      <c r="F19" s="13">
        <v>260.80377199999998</v>
      </c>
      <c r="G19" s="13">
        <v>258.53645999999998</v>
      </c>
      <c r="H19" s="13">
        <v>304.18445400000002</v>
      </c>
      <c r="I19" s="13">
        <v>282.03796299999999</v>
      </c>
      <c r="J19" s="13">
        <v>288.43589200000002</v>
      </c>
      <c r="K19" s="13">
        <v>287.12755399999998</v>
      </c>
      <c r="L19" s="13">
        <v>286.87806599999999</v>
      </c>
      <c r="M19" s="13">
        <v>300.07939699999997</v>
      </c>
      <c r="N19" s="13">
        <v>311.31712700000003</v>
      </c>
      <c r="O19" s="13">
        <v>338.656184</v>
      </c>
      <c r="P19" s="13">
        <v>330.028098</v>
      </c>
      <c r="Q19" s="13">
        <v>292.60333600000001</v>
      </c>
      <c r="R19" s="13">
        <v>223.87661</v>
      </c>
      <c r="S19" s="13">
        <v>246.77064999999999</v>
      </c>
      <c r="T19" s="13">
        <v>220.884198</v>
      </c>
      <c r="U19" s="13">
        <v>245.078216</v>
      </c>
      <c r="V19" s="13">
        <v>235.44902300000001</v>
      </c>
      <c r="W19" s="13">
        <v>224.58510100000001</v>
      </c>
      <c r="X19" s="13">
        <v>212.76350500000001</v>
      </c>
      <c r="Y19" s="13">
        <v>250.83864500000001</v>
      </c>
      <c r="Z19" s="13">
        <v>260.59142900000001</v>
      </c>
      <c r="AA19" s="13">
        <v>262.39023200000003</v>
      </c>
      <c r="AB19" s="13">
        <v>319.24125299999997</v>
      </c>
      <c r="AC19" s="13">
        <v>311.68208800000002</v>
      </c>
      <c r="AD19" s="13">
        <v>250.641032</v>
      </c>
      <c r="AE19" s="13">
        <v>253.27377799999999</v>
      </c>
      <c r="AF19" s="13">
        <v>236.411328</v>
      </c>
      <c r="AG19" s="13">
        <v>205.44718599999999</v>
      </c>
      <c r="AH19" s="13">
        <v>305.421268</v>
      </c>
      <c r="AI19" s="13">
        <v>262.99622799999997</v>
      </c>
      <c r="AJ19" s="13">
        <v>314.46738900000003</v>
      </c>
      <c r="AK19" s="13">
        <v>350.23089900000002</v>
      </c>
      <c r="AL19" s="13">
        <v>303.70327700000001</v>
      </c>
      <c r="AM19" s="13">
        <v>271.495181</v>
      </c>
      <c r="AN19" s="13">
        <v>291.09948500000002</v>
      </c>
      <c r="AO19" s="13">
        <v>263.449521</v>
      </c>
      <c r="AP19" s="13">
        <v>299.43679400000002</v>
      </c>
      <c r="AQ19" s="13">
        <v>334.54786200000001</v>
      </c>
      <c r="AR19" s="13">
        <v>315.46416299999999</v>
      </c>
      <c r="AS19" s="13">
        <v>273.29890399999999</v>
      </c>
      <c r="AT19" s="13">
        <v>305.34397899999999</v>
      </c>
      <c r="AU19" s="13">
        <v>289.37822699999998</v>
      </c>
      <c r="AV19" s="13">
        <v>311.47861999999998</v>
      </c>
      <c r="AW19" s="13">
        <v>290.29526299999998</v>
      </c>
      <c r="AX19" s="13">
        <v>339.93684999999999</v>
      </c>
      <c r="AY19" s="13">
        <v>299.49156599999998</v>
      </c>
      <c r="AZ19" s="13">
        <v>296.40757400000001</v>
      </c>
      <c r="BA19" s="13">
        <v>231</v>
      </c>
    </row>
    <row r="20" spans="1:53" s="47" customFormat="1" x14ac:dyDescent="0.2">
      <c r="A20" s="77" t="s">
        <v>165</v>
      </c>
      <c r="B20" s="75">
        <v>1101.066681</v>
      </c>
      <c r="C20" s="75">
        <v>1226.0795639999999</v>
      </c>
      <c r="D20" s="75">
        <v>1215.923524</v>
      </c>
      <c r="E20" s="75">
        <v>1102.414096</v>
      </c>
      <c r="F20" s="75">
        <v>1224.315699</v>
      </c>
      <c r="G20" s="75">
        <v>1132.4509370000001</v>
      </c>
      <c r="H20" s="75">
        <v>1217.832684</v>
      </c>
      <c r="I20" s="75">
        <v>1173.54061</v>
      </c>
      <c r="J20" s="75">
        <v>1298.471325</v>
      </c>
      <c r="K20" s="75">
        <v>1036.8901499999999</v>
      </c>
      <c r="L20" s="75">
        <v>1385.4274089999999</v>
      </c>
      <c r="M20" s="75">
        <v>1264.9526370000001</v>
      </c>
      <c r="N20" s="75">
        <v>1236.80513</v>
      </c>
      <c r="O20" s="75">
        <v>1314.065871</v>
      </c>
      <c r="P20" s="75">
        <v>1201.4401190000001</v>
      </c>
      <c r="Q20" s="75">
        <v>1053.2010290000001</v>
      </c>
      <c r="R20" s="75">
        <v>1118.107319</v>
      </c>
      <c r="S20" s="75">
        <v>1137.3639639999999</v>
      </c>
      <c r="T20" s="75">
        <v>1158.9458</v>
      </c>
      <c r="U20" s="75">
        <v>1009.543465</v>
      </c>
      <c r="V20" s="75">
        <v>919.91913499999998</v>
      </c>
      <c r="W20" s="75">
        <v>917.15301799999997</v>
      </c>
      <c r="X20" s="75">
        <v>988.12327700000003</v>
      </c>
      <c r="Y20" s="75">
        <v>878.87033499999995</v>
      </c>
      <c r="Z20" s="75">
        <v>881.45638899999994</v>
      </c>
      <c r="AA20" s="75">
        <v>800.47895300000005</v>
      </c>
      <c r="AB20" s="75">
        <v>904.854964</v>
      </c>
      <c r="AC20" s="75">
        <v>861.48006999999996</v>
      </c>
      <c r="AD20" s="75">
        <v>919.71905100000004</v>
      </c>
      <c r="AE20" s="75">
        <v>1052.2849040000001</v>
      </c>
      <c r="AF20" s="75">
        <v>845.62186299999996</v>
      </c>
      <c r="AG20" s="75">
        <v>786.81954900000005</v>
      </c>
      <c r="AH20" s="75">
        <v>909.21083699999997</v>
      </c>
      <c r="AI20" s="75">
        <v>836.66289900000004</v>
      </c>
      <c r="AJ20" s="75">
        <v>904.11666300000002</v>
      </c>
      <c r="AK20" s="75">
        <v>1047.849097</v>
      </c>
      <c r="AL20" s="75">
        <v>1237.9955689999999</v>
      </c>
      <c r="AM20" s="75">
        <v>1026.549614</v>
      </c>
      <c r="AN20" s="75">
        <v>1200.908373</v>
      </c>
      <c r="AO20" s="75">
        <v>1275.538888</v>
      </c>
      <c r="AP20" s="75">
        <v>1275.9515249999999</v>
      </c>
      <c r="AQ20" s="75">
        <v>1239.8867760000001</v>
      </c>
      <c r="AR20" s="75">
        <v>1131.79331</v>
      </c>
      <c r="AS20" s="75">
        <v>1087.479832</v>
      </c>
      <c r="AT20" s="75">
        <v>1129.767143</v>
      </c>
      <c r="AU20" s="75">
        <v>1207.1010670000001</v>
      </c>
      <c r="AV20" s="75">
        <v>924.35554000000002</v>
      </c>
      <c r="AW20" s="75">
        <v>1122.3352789999999</v>
      </c>
      <c r="AX20" s="75">
        <v>1008.612015</v>
      </c>
      <c r="AY20" s="75">
        <v>1247.4119009999999</v>
      </c>
      <c r="AZ20" s="75">
        <v>1111.7976530000001</v>
      </c>
      <c r="BA20" s="75">
        <v>786</v>
      </c>
    </row>
    <row r="21" spans="1:53" s="47" customFormat="1" x14ac:dyDescent="0.2">
      <c r="A21" s="76" t="s">
        <v>167</v>
      </c>
      <c r="B21" s="13">
        <v>870.56986800000004</v>
      </c>
      <c r="C21" s="13">
        <v>1080.726019</v>
      </c>
      <c r="D21" s="13">
        <v>1156.181439</v>
      </c>
      <c r="E21" s="13">
        <v>1141.379772</v>
      </c>
      <c r="F21" s="13">
        <v>1143.8460480000001</v>
      </c>
      <c r="G21" s="13">
        <v>1044.912722</v>
      </c>
      <c r="H21" s="13">
        <v>1038.565728</v>
      </c>
      <c r="I21" s="13">
        <v>1085.461229</v>
      </c>
      <c r="J21" s="13">
        <v>1028.4532589999999</v>
      </c>
      <c r="K21" s="13">
        <v>994.77233000000001</v>
      </c>
      <c r="L21" s="13">
        <v>1037.617389</v>
      </c>
      <c r="M21" s="13">
        <v>1065.5629690000001</v>
      </c>
      <c r="N21" s="13">
        <v>1141.2845400000001</v>
      </c>
      <c r="O21" s="13">
        <v>1111.9387449999999</v>
      </c>
      <c r="P21" s="13">
        <v>1065.678594</v>
      </c>
      <c r="Q21" s="13">
        <v>1124.194571</v>
      </c>
      <c r="R21" s="13">
        <v>1126.7996000000001</v>
      </c>
      <c r="S21" s="13">
        <v>1164.1810410000001</v>
      </c>
      <c r="T21" s="13">
        <v>1176.2594509999999</v>
      </c>
      <c r="U21" s="13">
        <v>1219.626168</v>
      </c>
      <c r="V21" s="13">
        <v>1111.4199269999999</v>
      </c>
      <c r="W21" s="13">
        <v>1188.0029649999999</v>
      </c>
      <c r="X21" s="13">
        <v>1214.422863</v>
      </c>
      <c r="Y21" s="13">
        <v>1201.574781</v>
      </c>
      <c r="Z21" s="13">
        <v>1198.068653</v>
      </c>
      <c r="AA21" s="13">
        <v>1204.871001</v>
      </c>
      <c r="AB21" s="13">
        <v>1106.8017460000001</v>
      </c>
      <c r="AC21" s="13">
        <v>1189.4034839999999</v>
      </c>
      <c r="AD21" s="13">
        <v>1192.8809690000001</v>
      </c>
      <c r="AE21" s="13">
        <v>1240.8591060000001</v>
      </c>
      <c r="AF21" s="13">
        <v>1176.4248749999999</v>
      </c>
      <c r="AG21" s="13">
        <v>1144.3525360000001</v>
      </c>
      <c r="AH21" s="13">
        <v>1203.0859049999999</v>
      </c>
      <c r="AI21" s="13">
        <v>1195.764506</v>
      </c>
      <c r="AJ21" s="13">
        <v>1110.4702010000001</v>
      </c>
      <c r="AK21" s="13">
        <v>1010.74648</v>
      </c>
      <c r="AL21" s="13">
        <v>1232.9175339999999</v>
      </c>
      <c r="AM21" s="13">
        <v>1255.3785459999999</v>
      </c>
      <c r="AN21" s="13">
        <v>1224.004103</v>
      </c>
      <c r="AO21" s="13">
        <v>1161.8929250000001</v>
      </c>
      <c r="AP21" s="13">
        <v>1180.295204</v>
      </c>
      <c r="AQ21" s="13">
        <v>1186.2791400000001</v>
      </c>
      <c r="AR21" s="13">
        <v>1171.6781960000001</v>
      </c>
      <c r="AS21" s="13">
        <v>1181.988184</v>
      </c>
      <c r="AT21" s="13">
        <v>1212.895876</v>
      </c>
      <c r="AU21" s="13">
        <v>1195.8056280000001</v>
      </c>
      <c r="AV21" s="13">
        <v>1120.151034</v>
      </c>
      <c r="AW21" s="13">
        <v>1271.081111</v>
      </c>
      <c r="AX21" s="13">
        <v>1195.1726980000001</v>
      </c>
      <c r="AY21" s="13">
        <v>1237.7415229999999</v>
      </c>
      <c r="AZ21" s="13">
        <v>1136.4661140000001</v>
      </c>
      <c r="BA21" s="13">
        <v>806</v>
      </c>
    </row>
    <row r="22" spans="1:53" s="47" customFormat="1" ht="13.5" thickBot="1" x14ac:dyDescent="0.25">
      <c r="A22" s="78" t="s">
        <v>176</v>
      </c>
      <c r="B22" s="23">
        <v>4120.2406740000006</v>
      </c>
      <c r="C22" s="23">
        <v>4529.2155899999998</v>
      </c>
      <c r="D22" s="23">
        <v>4743.0109480000001</v>
      </c>
      <c r="E22" s="23">
        <v>4639.2323649999998</v>
      </c>
      <c r="F22" s="23">
        <v>4754.9293349999998</v>
      </c>
      <c r="G22" s="23">
        <v>4416.2690750000002</v>
      </c>
      <c r="H22" s="23">
        <v>4706.4834260000007</v>
      </c>
      <c r="I22" s="23">
        <v>4666.0689340000008</v>
      </c>
      <c r="J22" s="23">
        <v>4805.8868289999991</v>
      </c>
      <c r="K22" s="23">
        <v>4397.172415</v>
      </c>
      <c r="L22" s="23">
        <v>4837.4479959999999</v>
      </c>
      <c r="M22" s="23">
        <v>4726.5922210000008</v>
      </c>
      <c r="N22" s="23">
        <v>4900.4416989999991</v>
      </c>
      <c r="O22" s="23">
        <v>4893.4706580000002</v>
      </c>
      <c r="P22" s="23">
        <v>4601.2177780000002</v>
      </c>
      <c r="Q22" s="23">
        <v>4509.8236109999998</v>
      </c>
      <c r="R22" s="23">
        <v>4514.9764070000001</v>
      </c>
      <c r="S22" s="23">
        <v>4565.7517120000002</v>
      </c>
      <c r="T22" s="23">
        <v>4528.1237460000002</v>
      </c>
      <c r="U22" s="23">
        <v>4464.4378799999995</v>
      </c>
      <c r="V22" s="23">
        <v>4295.9687400000003</v>
      </c>
      <c r="W22" s="23">
        <v>4355.7280289999999</v>
      </c>
      <c r="X22" s="23">
        <v>4628.9750050000002</v>
      </c>
      <c r="Y22" s="23">
        <v>4514.0460990000001</v>
      </c>
      <c r="Z22" s="23">
        <v>4401.3118839999997</v>
      </c>
      <c r="AA22" s="23">
        <v>4508.2058610000004</v>
      </c>
      <c r="AB22" s="23">
        <v>4262.8742499999998</v>
      </c>
      <c r="AC22" s="23">
        <v>4476.8019879999993</v>
      </c>
      <c r="AD22" s="23">
        <v>4392.3040689999998</v>
      </c>
      <c r="AE22" s="23">
        <v>4723.5266620000002</v>
      </c>
      <c r="AF22" s="23">
        <v>4247.3191390000002</v>
      </c>
      <c r="AG22" s="23">
        <v>4110.6228970000002</v>
      </c>
      <c r="AH22" s="23">
        <v>4491.3801999999996</v>
      </c>
      <c r="AI22" s="23">
        <v>4387.1391739999999</v>
      </c>
      <c r="AJ22" s="23">
        <v>4443.6552629999996</v>
      </c>
      <c r="AK22" s="23">
        <v>4468.5152790000002</v>
      </c>
      <c r="AL22" s="23">
        <v>4982.174145</v>
      </c>
      <c r="AM22" s="23">
        <v>4732.5523009999997</v>
      </c>
      <c r="AN22" s="23">
        <v>4813.9283340000002</v>
      </c>
      <c r="AO22" s="23">
        <v>4695.8638260000007</v>
      </c>
      <c r="AP22" s="23">
        <v>4763.1135640000002</v>
      </c>
      <c r="AQ22" s="23">
        <v>4778.1392960000012</v>
      </c>
      <c r="AR22" s="23">
        <v>4624.3947710000002</v>
      </c>
      <c r="AS22" s="23">
        <v>4521.3963429999994</v>
      </c>
      <c r="AT22" s="23">
        <v>4622.7356660000005</v>
      </c>
      <c r="AU22" s="23">
        <v>4721.8216670000002</v>
      </c>
      <c r="AV22" s="23">
        <v>4321.8570799999998</v>
      </c>
      <c r="AW22" s="23">
        <v>4807.0918029999993</v>
      </c>
      <c r="AX22" s="23">
        <v>4533.4235150000004</v>
      </c>
      <c r="AY22" s="23">
        <v>4818.7710820000002</v>
      </c>
      <c r="AZ22" s="23">
        <v>4569.9431350000004</v>
      </c>
      <c r="BA22" s="23">
        <v>3298</v>
      </c>
    </row>
    <row r="23" spans="1:53" s="47" customFormat="1" ht="13.5" thickTop="1" x14ac:dyDescent="0.2"/>
    <row r="24" spans="1:53" s="47" customFormat="1" x14ac:dyDescent="0.2"/>
    <row r="25" spans="1:53" s="47" customFormat="1" x14ac:dyDescent="0.2"/>
    <row r="26" spans="1:53" s="47" customFormat="1" x14ac:dyDescent="0.2"/>
    <row r="27" spans="1:53" s="47" customFormat="1" x14ac:dyDescent="0.2"/>
    <row r="28" spans="1:53" s="47" customFormat="1" x14ac:dyDescent="0.2"/>
    <row r="29" spans="1:53" s="47" customFormat="1" x14ac:dyDescent="0.2"/>
    <row r="30" spans="1:53" s="47" customFormat="1" x14ac:dyDescent="0.2"/>
    <row r="31" spans="1:53" s="47" customFormat="1" x14ac:dyDescent="0.2"/>
    <row r="32" spans="1:53" s="47" customFormat="1" x14ac:dyDescent="0.2"/>
    <row r="33" s="47" customFormat="1" x14ac:dyDescent="0.2"/>
    <row r="34" s="47" customFormat="1" x14ac:dyDescent="0.2"/>
    <row r="35" s="47" customFormat="1" x14ac:dyDescent="0.2"/>
    <row r="36" s="47" customFormat="1" x14ac:dyDescent="0.2"/>
    <row r="37" s="47" customFormat="1" x14ac:dyDescent="0.2"/>
    <row r="38" s="47" customFormat="1" x14ac:dyDescent="0.2"/>
    <row r="39" s="47" customFormat="1" x14ac:dyDescent="0.2"/>
    <row r="40" s="47" customFormat="1" x14ac:dyDescent="0.2"/>
    <row r="41" s="47" customFormat="1" x14ac:dyDescent="0.2"/>
    <row r="42" s="47" customFormat="1" x14ac:dyDescent="0.2"/>
    <row r="43" s="47" customFormat="1" x14ac:dyDescent="0.2"/>
    <row r="44" s="47" customFormat="1" x14ac:dyDescent="0.2"/>
    <row r="45" s="47" customFormat="1" x14ac:dyDescent="0.2"/>
    <row r="46" s="47" customFormat="1" x14ac:dyDescent="0.2"/>
    <row r="47" s="47" customFormat="1" x14ac:dyDescent="0.2"/>
    <row r="48" s="47" customFormat="1" x14ac:dyDescent="0.2"/>
    <row r="49" s="47" customFormat="1" x14ac:dyDescent="0.2"/>
    <row r="50" s="47" customFormat="1" x14ac:dyDescent="0.2"/>
    <row r="51" s="47" customFormat="1" x14ac:dyDescent="0.2"/>
    <row r="52" s="47" customFormat="1" x14ac:dyDescent="0.2"/>
    <row r="53" s="47" customFormat="1" x14ac:dyDescent="0.2"/>
    <row r="54" s="47" customFormat="1" x14ac:dyDescent="0.2"/>
  </sheetData>
  <sheetProtection algorithmName="SHA-512" hashValue="dSQjb8foxgDSjN6s9CI5OAkwGYYcH+TySZ0rI9QC6N0k1wANIEPh9hDakQ9DcjsJ4t4oh2UaTrAYZP/Ar9oafQ==" saltValue="rYdv42D0Gzfvaqyl6C3mpQ==" spinCount="100000" sheet="1" objects="1" scenarios="1"/>
  <mergeCells count="1">
    <mergeCell ref="A1:BA1"/>
  </mergeCells>
  <pageMargins left="0.17" right="0.17" top="0.17" bottom="0.5" header="0.17" footer="0.5"/>
  <pageSetup scale="70" fitToWidth="0" orientation="landscape" r:id="rId1"/>
  <headerFooter alignWithMargins="0"/>
  <colBreaks count="3" manualBreakCount="3">
    <brk id="14" max="48" man="1"/>
    <brk id="27" max="48" man="1"/>
    <brk id="40" max="48"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A58C1-D96F-4743-8F08-BDDD0A19C1B5}">
  <sheetPr codeName="Sheet25">
    <tabColor rgb="FF92D050"/>
  </sheetPr>
  <dimension ref="A1:BB54"/>
  <sheetViews>
    <sheetView zoomScaleNormal="100" workbookViewId="0">
      <pane xSplit="1" ySplit="3" topLeftCell="B4" activePane="bottomRight" state="frozen"/>
      <selection activeCell="C22" sqref="C22"/>
      <selection pane="topRight" activeCell="C22" sqref="C22"/>
      <selection pane="bottomLeft" activeCell="C22" sqref="C22"/>
      <selection pane="bottomRight" activeCell="C22" sqref="C22"/>
    </sheetView>
  </sheetViews>
  <sheetFormatPr defaultColWidth="6.7109375" defaultRowHeight="12.75" x14ac:dyDescent="0.2"/>
  <cols>
    <col min="1" max="1" width="50.42578125" style="42" bestFit="1" customWidth="1"/>
    <col min="2" max="2" width="9.42578125" style="43" customWidth="1"/>
    <col min="3" max="52" width="9.42578125" style="42" customWidth="1"/>
    <col min="53" max="53" width="9" style="42" customWidth="1"/>
    <col min="54" max="16384" width="6.7109375" style="42"/>
  </cols>
  <sheetData>
    <row r="1" spans="1:54" ht="23.25" x14ac:dyDescent="0.35">
      <c r="A1" s="145" t="s">
        <v>232</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c r="AE1" s="145"/>
      <c r="AF1" s="145"/>
      <c r="AG1" s="145"/>
      <c r="AH1" s="145"/>
      <c r="AI1" s="145"/>
      <c r="AJ1" s="145"/>
      <c r="AK1" s="145"/>
      <c r="AL1" s="145"/>
      <c r="AM1" s="145"/>
      <c r="AN1" s="145"/>
      <c r="AO1" s="145"/>
      <c r="AP1" s="145"/>
      <c r="AQ1" s="145"/>
      <c r="AR1" s="145"/>
      <c r="AS1" s="145"/>
      <c r="AT1" s="145"/>
      <c r="AU1" s="145"/>
      <c r="AV1" s="145"/>
      <c r="AW1" s="145"/>
      <c r="AX1" s="145"/>
      <c r="AY1" s="145"/>
      <c r="AZ1" s="145"/>
      <c r="BA1" s="145"/>
    </row>
    <row r="2" spans="1:54" ht="13.5" thickBot="1" x14ac:dyDescent="0.25">
      <c r="A2" s="7" t="s">
        <v>223</v>
      </c>
      <c r="B2" s="5">
        <v>1</v>
      </c>
      <c r="C2" s="5">
        <v>2</v>
      </c>
      <c r="D2" s="5">
        <v>3</v>
      </c>
      <c r="E2" s="5">
        <v>4</v>
      </c>
      <c r="F2" s="5">
        <v>5</v>
      </c>
      <c r="G2" s="5">
        <v>6</v>
      </c>
      <c r="H2" s="5">
        <v>7</v>
      </c>
      <c r="I2" s="5">
        <v>8</v>
      </c>
      <c r="J2" s="5">
        <v>9</v>
      </c>
      <c r="K2" s="5">
        <v>10</v>
      </c>
      <c r="L2" s="5">
        <v>11</v>
      </c>
      <c r="M2" s="5">
        <v>12</v>
      </c>
      <c r="N2" s="5">
        <v>13</v>
      </c>
      <c r="O2" s="5">
        <v>14</v>
      </c>
      <c r="P2" s="5">
        <v>15</v>
      </c>
      <c r="Q2" s="5">
        <v>16</v>
      </c>
      <c r="R2" s="5">
        <v>17</v>
      </c>
      <c r="S2" s="5">
        <v>18</v>
      </c>
      <c r="T2" s="5">
        <v>19</v>
      </c>
      <c r="U2" s="5">
        <v>20</v>
      </c>
      <c r="V2" s="5">
        <v>21</v>
      </c>
      <c r="W2" s="5">
        <v>22</v>
      </c>
      <c r="X2" s="5">
        <v>23</v>
      </c>
      <c r="Y2" s="5">
        <v>24</v>
      </c>
      <c r="Z2" s="5">
        <v>25</v>
      </c>
      <c r="AA2" s="5">
        <v>26</v>
      </c>
      <c r="AB2" s="5">
        <v>27</v>
      </c>
      <c r="AC2" s="5">
        <v>28</v>
      </c>
      <c r="AD2" s="5">
        <v>29</v>
      </c>
      <c r="AE2" s="5">
        <v>30</v>
      </c>
      <c r="AF2" s="5">
        <v>31</v>
      </c>
      <c r="AG2" s="5">
        <v>32</v>
      </c>
      <c r="AH2" s="5">
        <v>33</v>
      </c>
      <c r="AI2" s="5">
        <v>34</v>
      </c>
      <c r="AJ2" s="5">
        <v>35</v>
      </c>
      <c r="AK2" s="5">
        <v>36</v>
      </c>
      <c r="AL2" s="5">
        <v>37</v>
      </c>
      <c r="AM2" s="5">
        <v>38</v>
      </c>
      <c r="AN2" s="5">
        <v>39</v>
      </c>
      <c r="AO2" s="5">
        <v>40</v>
      </c>
      <c r="AP2" s="5">
        <v>41</v>
      </c>
      <c r="AQ2" s="5">
        <v>42</v>
      </c>
      <c r="AR2" s="5">
        <v>43</v>
      </c>
      <c r="AS2" s="5">
        <v>44</v>
      </c>
      <c r="AT2" s="5">
        <v>45</v>
      </c>
      <c r="AU2" s="5">
        <v>46</v>
      </c>
      <c r="AV2" s="5">
        <v>47</v>
      </c>
      <c r="AW2" s="5">
        <v>48</v>
      </c>
      <c r="AX2" s="5">
        <v>49</v>
      </c>
      <c r="AY2" s="5">
        <v>50</v>
      </c>
      <c r="AZ2" s="5">
        <v>51</v>
      </c>
      <c r="BA2" s="5">
        <v>52</v>
      </c>
    </row>
    <row r="3" spans="1:54" s="48" customFormat="1" ht="24.75" thickBot="1" x14ac:dyDescent="0.25">
      <c r="A3" s="50" t="s">
        <v>179</v>
      </c>
      <c r="B3" s="51">
        <v>42372</v>
      </c>
      <c r="C3" s="51">
        <v>42379</v>
      </c>
      <c r="D3" s="51">
        <v>42386</v>
      </c>
      <c r="E3" s="51">
        <v>42393</v>
      </c>
      <c r="F3" s="51">
        <v>42400</v>
      </c>
      <c r="G3" s="51">
        <v>42407</v>
      </c>
      <c r="H3" s="51">
        <v>42414</v>
      </c>
      <c r="I3" s="51">
        <v>42421</v>
      </c>
      <c r="J3" s="51">
        <v>42428</v>
      </c>
      <c r="K3" s="51">
        <v>42435</v>
      </c>
      <c r="L3" s="51">
        <v>42442</v>
      </c>
      <c r="M3" s="51">
        <v>42449</v>
      </c>
      <c r="N3" s="51">
        <v>42456</v>
      </c>
      <c r="O3" s="51">
        <v>42463</v>
      </c>
      <c r="P3" s="51">
        <v>42470</v>
      </c>
      <c r="Q3" s="51">
        <v>42477</v>
      </c>
      <c r="R3" s="51">
        <v>42484</v>
      </c>
      <c r="S3" s="51">
        <v>42491</v>
      </c>
      <c r="T3" s="51">
        <v>42498</v>
      </c>
      <c r="U3" s="51">
        <v>42505</v>
      </c>
      <c r="V3" s="51">
        <v>42512</v>
      </c>
      <c r="W3" s="51">
        <v>42519</v>
      </c>
      <c r="X3" s="51">
        <v>42526</v>
      </c>
      <c r="Y3" s="51">
        <v>42533</v>
      </c>
      <c r="Z3" s="51">
        <v>42540</v>
      </c>
      <c r="AA3" s="51">
        <v>42547</v>
      </c>
      <c r="AB3" s="51">
        <v>42554</v>
      </c>
      <c r="AC3" s="51">
        <v>42561</v>
      </c>
      <c r="AD3" s="51">
        <v>42568</v>
      </c>
      <c r="AE3" s="51">
        <v>42575</v>
      </c>
      <c r="AF3" s="51">
        <v>42582</v>
      </c>
      <c r="AG3" s="51">
        <v>42589</v>
      </c>
      <c r="AH3" s="51">
        <v>42596</v>
      </c>
      <c r="AI3" s="51">
        <v>42603</v>
      </c>
      <c r="AJ3" s="51">
        <v>42610</v>
      </c>
      <c r="AK3" s="51">
        <v>42617</v>
      </c>
      <c r="AL3" s="51">
        <v>42624</v>
      </c>
      <c r="AM3" s="51">
        <v>42631</v>
      </c>
      <c r="AN3" s="51">
        <v>42638</v>
      </c>
      <c r="AO3" s="51">
        <v>42645</v>
      </c>
      <c r="AP3" s="51">
        <v>42652</v>
      </c>
      <c r="AQ3" s="51">
        <v>42659</v>
      </c>
      <c r="AR3" s="51">
        <v>42666</v>
      </c>
      <c r="AS3" s="51">
        <v>42673</v>
      </c>
      <c r="AT3" s="51">
        <v>42680</v>
      </c>
      <c r="AU3" s="51">
        <v>42687</v>
      </c>
      <c r="AV3" s="51">
        <v>42694</v>
      </c>
      <c r="AW3" s="51">
        <v>42701</v>
      </c>
      <c r="AX3" s="51">
        <v>42708</v>
      </c>
      <c r="AY3" s="51">
        <v>42715</v>
      </c>
      <c r="AZ3" s="51">
        <v>42722</v>
      </c>
      <c r="BA3" s="51">
        <v>42729</v>
      </c>
      <c r="BB3" s="54"/>
    </row>
    <row r="4" spans="1:54" s="47" customFormat="1" x14ac:dyDescent="0.2">
      <c r="A4" s="73" t="s">
        <v>173</v>
      </c>
    </row>
    <row r="5" spans="1:54" s="47" customFormat="1" x14ac:dyDescent="0.2">
      <c r="A5" s="74" t="s">
        <v>155</v>
      </c>
      <c r="B5" s="75">
        <v>8413</v>
      </c>
      <c r="C5" s="75">
        <v>8454</v>
      </c>
      <c r="D5" s="75">
        <v>8842</v>
      </c>
      <c r="E5" s="75">
        <v>8814</v>
      </c>
      <c r="F5" s="75">
        <v>9024</v>
      </c>
      <c r="G5" s="75">
        <v>8475</v>
      </c>
      <c r="H5" s="75">
        <v>9286</v>
      </c>
      <c r="I5" s="75">
        <v>9076</v>
      </c>
      <c r="J5" s="75">
        <v>8871</v>
      </c>
      <c r="K5" s="75">
        <v>8823</v>
      </c>
      <c r="L5" s="75">
        <v>8938</v>
      </c>
      <c r="M5" s="75">
        <v>8476</v>
      </c>
      <c r="N5" s="75">
        <v>8979</v>
      </c>
      <c r="O5" s="75">
        <v>8698</v>
      </c>
      <c r="P5" s="75">
        <v>8707</v>
      </c>
      <c r="Q5" s="75">
        <v>8759</v>
      </c>
      <c r="R5" s="75">
        <v>8307</v>
      </c>
      <c r="S5" s="75">
        <v>8015</v>
      </c>
      <c r="T5" s="75">
        <v>8458</v>
      </c>
      <c r="U5" s="75">
        <v>8337</v>
      </c>
      <c r="V5" s="75">
        <v>8016</v>
      </c>
      <c r="W5" s="75">
        <v>8226</v>
      </c>
      <c r="X5" s="75">
        <v>8393</v>
      </c>
      <c r="Y5" s="75">
        <v>8324</v>
      </c>
      <c r="Z5" s="75">
        <v>8250</v>
      </c>
      <c r="AA5" s="75">
        <v>8068</v>
      </c>
      <c r="AB5" s="75">
        <v>8633</v>
      </c>
      <c r="AC5" s="75">
        <v>8458</v>
      </c>
      <c r="AD5" s="75">
        <v>8540</v>
      </c>
      <c r="AE5" s="75">
        <v>8327</v>
      </c>
      <c r="AF5" s="75">
        <v>7882</v>
      </c>
      <c r="AG5" s="75">
        <v>8326</v>
      </c>
      <c r="AH5" s="75">
        <v>8371</v>
      </c>
      <c r="AI5" s="75">
        <v>8552</v>
      </c>
      <c r="AJ5" s="75">
        <v>8346</v>
      </c>
      <c r="AK5" s="75">
        <v>7974</v>
      </c>
      <c r="AL5" s="75">
        <v>8370</v>
      </c>
      <c r="AM5" s="75">
        <v>8407</v>
      </c>
      <c r="AN5" s="75">
        <v>8634</v>
      </c>
      <c r="AO5" s="75">
        <v>8612</v>
      </c>
      <c r="AP5" s="75">
        <v>8190</v>
      </c>
      <c r="AQ5" s="75">
        <v>8324</v>
      </c>
      <c r="AR5" s="75">
        <v>8485</v>
      </c>
      <c r="AS5" s="75">
        <v>8576</v>
      </c>
      <c r="AT5" s="75">
        <v>8454</v>
      </c>
      <c r="AU5" s="75">
        <v>8470</v>
      </c>
      <c r="AV5" s="75">
        <v>8614</v>
      </c>
      <c r="AW5" s="75">
        <v>8576</v>
      </c>
      <c r="AX5" s="75">
        <v>8050</v>
      </c>
      <c r="AY5" s="75">
        <v>7811</v>
      </c>
      <c r="AZ5" s="75">
        <v>8078</v>
      </c>
      <c r="BA5" s="75">
        <v>6341</v>
      </c>
    </row>
    <row r="6" spans="1:54" s="47" customFormat="1" x14ac:dyDescent="0.2">
      <c r="A6" s="76" t="s">
        <v>157</v>
      </c>
      <c r="B6" s="13">
        <v>12609</v>
      </c>
      <c r="C6" s="13">
        <v>11993</v>
      </c>
      <c r="D6" s="13">
        <v>11625</v>
      </c>
      <c r="E6" s="13">
        <v>12342</v>
      </c>
      <c r="F6" s="13">
        <v>11943</v>
      </c>
      <c r="G6" s="13">
        <v>12110</v>
      </c>
      <c r="H6" s="13">
        <v>11725</v>
      </c>
      <c r="I6" s="13">
        <v>11876</v>
      </c>
      <c r="J6" s="13">
        <v>11832</v>
      </c>
      <c r="K6" s="13">
        <v>11250</v>
      </c>
      <c r="L6" s="13">
        <v>11667</v>
      </c>
      <c r="M6" s="13">
        <v>11120</v>
      </c>
      <c r="N6" s="13">
        <v>11385</v>
      </c>
      <c r="O6" s="13">
        <v>10990</v>
      </c>
      <c r="P6" s="13">
        <v>11465</v>
      </c>
      <c r="Q6" s="13">
        <v>11037</v>
      </c>
      <c r="R6" s="13">
        <v>10615</v>
      </c>
      <c r="S6" s="13">
        <v>10989</v>
      </c>
      <c r="T6" s="13">
        <v>10170</v>
      </c>
      <c r="U6" s="13">
        <v>10884</v>
      </c>
      <c r="V6" s="13">
        <v>10684</v>
      </c>
      <c r="W6" s="13">
        <v>10032</v>
      </c>
      <c r="X6" s="13">
        <v>11028</v>
      </c>
      <c r="Y6" s="13">
        <v>11152</v>
      </c>
      <c r="Z6" s="13">
        <v>10630</v>
      </c>
      <c r="AA6" s="13">
        <v>10949</v>
      </c>
      <c r="AB6" s="13">
        <v>10977</v>
      </c>
      <c r="AC6" s="13">
        <v>10861</v>
      </c>
      <c r="AD6" s="13">
        <v>11316</v>
      </c>
      <c r="AE6" s="13">
        <v>11093</v>
      </c>
      <c r="AF6" s="13">
        <v>11272</v>
      </c>
      <c r="AG6" s="13">
        <v>11471</v>
      </c>
      <c r="AH6" s="13">
        <v>10969</v>
      </c>
      <c r="AI6" s="13">
        <v>11461</v>
      </c>
      <c r="AJ6" s="13">
        <v>12165</v>
      </c>
      <c r="AK6" s="13">
        <v>10855</v>
      </c>
      <c r="AL6" s="13">
        <v>11641</v>
      </c>
      <c r="AM6" s="13">
        <v>11320</v>
      </c>
      <c r="AN6" s="13">
        <v>11967</v>
      </c>
      <c r="AO6" s="13">
        <v>11815</v>
      </c>
      <c r="AP6" s="13">
        <v>12320</v>
      </c>
      <c r="AQ6" s="13">
        <v>11562</v>
      </c>
      <c r="AR6" s="13">
        <v>11634</v>
      </c>
      <c r="AS6" s="13">
        <v>11778</v>
      </c>
      <c r="AT6" s="13">
        <v>12337</v>
      </c>
      <c r="AU6" s="13">
        <v>12517</v>
      </c>
      <c r="AV6" s="13">
        <v>11907</v>
      </c>
      <c r="AW6" s="13">
        <v>12468</v>
      </c>
      <c r="AX6" s="13">
        <v>11833</v>
      </c>
      <c r="AY6" s="13">
        <v>11865</v>
      </c>
      <c r="AZ6" s="13">
        <v>11784</v>
      </c>
      <c r="BA6" s="13">
        <v>11484</v>
      </c>
    </row>
    <row r="7" spans="1:54" s="47" customFormat="1" x14ac:dyDescent="0.2">
      <c r="A7" s="76" t="s">
        <v>159</v>
      </c>
      <c r="B7" s="13">
        <v>13578</v>
      </c>
      <c r="C7" s="13">
        <v>13987</v>
      </c>
      <c r="D7" s="13">
        <v>14424</v>
      </c>
      <c r="E7" s="13">
        <v>14451</v>
      </c>
      <c r="F7" s="13">
        <v>14372</v>
      </c>
      <c r="G7" s="13">
        <v>14090</v>
      </c>
      <c r="H7" s="13">
        <v>14163</v>
      </c>
      <c r="I7" s="13">
        <v>13314</v>
      </c>
      <c r="J7" s="13">
        <v>13492</v>
      </c>
      <c r="K7" s="13">
        <v>12814</v>
      </c>
      <c r="L7" s="13">
        <v>13494</v>
      </c>
      <c r="M7" s="13">
        <v>13677</v>
      </c>
      <c r="N7" s="13">
        <v>13705</v>
      </c>
      <c r="O7" s="13">
        <v>13143</v>
      </c>
      <c r="P7" s="13">
        <v>13484</v>
      </c>
      <c r="Q7" s="13">
        <v>13299</v>
      </c>
      <c r="R7" s="13">
        <v>13865</v>
      </c>
      <c r="S7" s="13">
        <v>13570</v>
      </c>
      <c r="T7" s="13">
        <v>14719</v>
      </c>
      <c r="U7" s="13">
        <v>14845</v>
      </c>
      <c r="V7" s="13">
        <v>14631</v>
      </c>
      <c r="W7" s="13">
        <v>14718</v>
      </c>
      <c r="X7" s="13">
        <v>15010</v>
      </c>
      <c r="Y7" s="13">
        <v>13952</v>
      </c>
      <c r="Z7" s="13">
        <v>14684</v>
      </c>
      <c r="AA7" s="13">
        <v>15641</v>
      </c>
      <c r="AB7" s="13">
        <v>14296</v>
      </c>
      <c r="AC7" s="13">
        <v>13896</v>
      </c>
      <c r="AD7" s="13">
        <v>15283</v>
      </c>
      <c r="AE7" s="13">
        <v>15585</v>
      </c>
      <c r="AF7" s="13">
        <v>15552</v>
      </c>
      <c r="AG7" s="13">
        <v>14998</v>
      </c>
      <c r="AH7" s="13">
        <v>14633</v>
      </c>
      <c r="AI7" s="13">
        <v>14889</v>
      </c>
      <c r="AJ7" s="13">
        <v>17824</v>
      </c>
      <c r="AK7" s="13">
        <v>17399</v>
      </c>
      <c r="AL7" s="13">
        <v>18479</v>
      </c>
      <c r="AM7" s="13">
        <v>18334</v>
      </c>
      <c r="AN7" s="13">
        <v>20108</v>
      </c>
      <c r="AO7" s="13">
        <v>19494</v>
      </c>
      <c r="AP7" s="13">
        <v>19486</v>
      </c>
      <c r="AQ7" s="13">
        <v>17280</v>
      </c>
      <c r="AR7" s="13">
        <v>18225</v>
      </c>
      <c r="AS7" s="13">
        <v>18298</v>
      </c>
      <c r="AT7" s="13">
        <v>19179</v>
      </c>
      <c r="AU7" s="13">
        <v>18537</v>
      </c>
      <c r="AV7" s="13">
        <v>17094</v>
      </c>
      <c r="AW7" s="13">
        <v>15509</v>
      </c>
      <c r="AX7" s="13">
        <v>16233</v>
      </c>
      <c r="AY7" s="13">
        <v>15496</v>
      </c>
      <c r="AZ7" s="13">
        <v>17209</v>
      </c>
      <c r="BA7" s="13">
        <v>15693</v>
      </c>
    </row>
    <row r="8" spans="1:54" s="47" customFormat="1" x14ac:dyDescent="0.2">
      <c r="A8" s="76" t="s">
        <v>161</v>
      </c>
      <c r="B8" s="13">
        <v>3533</v>
      </c>
      <c r="C8" s="13">
        <v>4333</v>
      </c>
      <c r="D8" s="13">
        <v>4682</v>
      </c>
      <c r="E8" s="13">
        <v>5057</v>
      </c>
      <c r="F8" s="13">
        <v>5048</v>
      </c>
      <c r="G8" s="13">
        <v>4983</v>
      </c>
      <c r="H8" s="13">
        <v>5564</v>
      </c>
      <c r="I8" s="13">
        <v>5066</v>
      </c>
      <c r="J8" s="13">
        <v>5601</v>
      </c>
      <c r="K8" s="13">
        <v>5602</v>
      </c>
      <c r="L8" s="13">
        <v>5471</v>
      </c>
      <c r="M8" s="13">
        <v>4906</v>
      </c>
      <c r="N8" s="13">
        <v>4437</v>
      </c>
      <c r="O8" s="13">
        <v>4950</v>
      </c>
      <c r="P8" s="13">
        <v>5441</v>
      </c>
      <c r="Q8" s="13">
        <v>5455</v>
      </c>
      <c r="R8" s="13">
        <v>5795</v>
      </c>
      <c r="S8" s="13">
        <v>5247</v>
      </c>
      <c r="T8" s="13">
        <v>5265</v>
      </c>
      <c r="U8" s="13">
        <v>4984</v>
      </c>
      <c r="V8" s="13">
        <v>4876</v>
      </c>
      <c r="W8" s="13">
        <v>4821</v>
      </c>
      <c r="X8" s="13">
        <v>4918</v>
      </c>
      <c r="Y8" s="13">
        <v>5242</v>
      </c>
      <c r="Z8" s="13">
        <v>5593</v>
      </c>
      <c r="AA8" s="13">
        <v>5112</v>
      </c>
      <c r="AB8" s="13">
        <v>3225</v>
      </c>
      <c r="AC8" s="13">
        <v>3339</v>
      </c>
      <c r="AD8" s="13">
        <v>5035</v>
      </c>
      <c r="AE8" s="13">
        <v>5178</v>
      </c>
      <c r="AF8" s="13">
        <v>5140</v>
      </c>
      <c r="AG8" s="13">
        <v>5212</v>
      </c>
      <c r="AH8" s="13">
        <v>5246</v>
      </c>
      <c r="AI8" s="13">
        <v>5128</v>
      </c>
      <c r="AJ8" s="13">
        <v>4632</v>
      </c>
      <c r="AK8" s="13">
        <v>4362</v>
      </c>
      <c r="AL8" s="13">
        <v>5675</v>
      </c>
      <c r="AM8" s="13">
        <v>5965</v>
      </c>
      <c r="AN8" s="13">
        <v>5957</v>
      </c>
      <c r="AO8" s="13">
        <v>5250</v>
      </c>
      <c r="AP8" s="13">
        <v>4890</v>
      </c>
      <c r="AQ8" s="13">
        <v>5730</v>
      </c>
      <c r="AR8" s="13">
        <v>4936</v>
      </c>
      <c r="AS8" s="13">
        <v>5401</v>
      </c>
      <c r="AT8" s="13">
        <v>4885</v>
      </c>
      <c r="AU8" s="13">
        <v>5016</v>
      </c>
      <c r="AV8" s="13">
        <v>4615</v>
      </c>
      <c r="AW8" s="13">
        <v>4934</v>
      </c>
      <c r="AX8" s="13">
        <v>5230</v>
      </c>
      <c r="AY8" s="13">
        <v>4865</v>
      </c>
      <c r="AZ8" s="13">
        <v>4861</v>
      </c>
      <c r="BA8" s="13">
        <v>3926</v>
      </c>
    </row>
    <row r="9" spans="1:54" s="47" customFormat="1" x14ac:dyDescent="0.2">
      <c r="A9" s="76" t="s">
        <v>163</v>
      </c>
      <c r="B9" s="13">
        <v>6452</v>
      </c>
      <c r="C9" s="13">
        <v>5628</v>
      </c>
      <c r="D9" s="13">
        <v>6669</v>
      </c>
      <c r="E9" s="13">
        <v>6628</v>
      </c>
      <c r="F9" s="13">
        <v>6676</v>
      </c>
      <c r="G9" s="13">
        <v>5850</v>
      </c>
      <c r="H9" s="13">
        <v>6177</v>
      </c>
      <c r="I9" s="13">
        <v>5145</v>
      </c>
      <c r="J9" s="13">
        <v>6055</v>
      </c>
      <c r="K9" s="13">
        <v>6106</v>
      </c>
      <c r="L9" s="13">
        <v>5066</v>
      </c>
      <c r="M9" s="13">
        <v>6037</v>
      </c>
      <c r="N9" s="13">
        <v>5847</v>
      </c>
      <c r="O9" s="13">
        <v>5169</v>
      </c>
      <c r="P9" s="13">
        <v>4972</v>
      </c>
      <c r="Q9" s="13">
        <v>5776</v>
      </c>
      <c r="R9" s="13">
        <v>5741</v>
      </c>
      <c r="S9" s="13">
        <v>4544</v>
      </c>
      <c r="T9" s="13">
        <v>5817</v>
      </c>
      <c r="U9" s="13">
        <v>4828</v>
      </c>
      <c r="V9" s="13">
        <v>5276</v>
      </c>
      <c r="W9" s="13">
        <v>6568</v>
      </c>
      <c r="X9" s="13">
        <v>6290</v>
      </c>
      <c r="Y9" s="13">
        <v>6695</v>
      </c>
      <c r="Z9" s="13">
        <v>6230</v>
      </c>
      <c r="AA9" s="13">
        <v>5646</v>
      </c>
      <c r="AB9" s="13">
        <v>5688</v>
      </c>
      <c r="AC9" s="13">
        <v>6669</v>
      </c>
      <c r="AD9" s="13">
        <v>6320</v>
      </c>
      <c r="AE9" s="13">
        <v>6452</v>
      </c>
      <c r="AF9" s="13">
        <v>5922</v>
      </c>
      <c r="AG9" s="13">
        <v>5485</v>
      </c>
      <c r="AH9" s="13">
        <v>5919</v>
      </c>
      <c r="AI9" s="13">
        <v>6347</v>
      </c>
      <c r="AJ9" s="13">
        <v>6689</v>
      </c>
      <c r="AK9" s="13">
        <v>7409</v>
      </c>
      <c r="AL9" s="13">
        <v>7361</v>
      </c>
      <c r="AM9" s="13">
        <v>8155</v>
      </c>
      <c r="AN9" s="13">
        <v>9530</v>
      </c>
      <c r="AO9" s="13">
        <v>6536</v>
      </c>
      <c r="AP9" s="13">
        <v>6908</v>
      </c>
      <c r="AQ9" s="13">
        <v>6602</v>
      </c>
      <c r="AR9" s="13">
        <v>7257</v>
      </c>
      <c r="AS9" s="13">
        <v>7332</v>
      </c>
      <c r="AT9" s="13">
        <v>8905</v>
      </c>
      <c r="AU9" s="13">
        <v>6855</v>
      </c>
      <c r="AV9" s="13">
        <v>6995</v>
      </c>
      <c r="AW9" s="13">
        <v>7703</v>
      </c>
      <c r="AX9" s="13">
        <v>6544</v>
      </c>
      <c r="AY9" s="13">
        <v>7073</v>
      </c>
      <c r="AZ9" s="13">
        <v>6341</v>
      </c>
      <c r="BA9" s="13">
        <v>6531</v>
      </c>
    </row>
    <row r="10" spans="1:54" s="47" customFormat="1" x14ac:dyDescent="0.2">
      <c r="A10" s="77" t="s">
        <v>165</v>
      </c>
      <c r="B10" s="75">
        <v>11033</v>
      </c>
      <c r="C10" s="75">
        <v>10430</v>
      </c>
      <c r="D10" s="75">
        <v>11101</v>
      </c>
      <c r="E10" s="75">
        <v>11198</v>
      </c>
      <c r="F10" s="75">
        <v>11317</v>
      </c>
      <c r="G10" s="75">
        <v>12377</v>
      </c>
      <c r="H10" s="75">
        <v>10929</v>
      </c>
      <c r="I10" s="75">
        <v>11685</v>
      </c>
      <c r="J10" s="75">
        <v>11723</v>
      </c>
      <c r="K10" s="75">
        <v>11603</v>
      </c>
      <c r="L10" s="75">
        <v>10487</v>
      </c>
      <c r="M10" s="75">
        <v>10863</v>
      </c>
      <c r="N10" s="75">
        <v>12044</v>
      </c>
      <c r="O10" s="75">
        <v>10582</v>
      </c>
      <c r="P10" s="75">
        <v>10849</v>
      </c>
      <c r="Q10" s="75">
        <v>9834</v>
      </c>
      <c r="R10" s="75">
        <v>11073</v>
      </c>
      <c r="S10" s="75">
        <v>10307</v>
      </c>
      <c r="T10" s="75">
        <v>9854</v>
      </c>
      <c r="U10" s="75">
        <v>10156</v>
      </c>
      <c r="V10" s="75">
        <v>8612</v>
      </c>
      <c r="W10" s="75">
        <v>9825</v>
      </c>
      <c r="X10" s="75">
        <v>9128</v>
      </c>
      <c r="Y10" s="75">
        <v>9495</v>
      </c>
      <c r="Z10" s="75">
        <v>9641</v>
      </c>
      <c r="AA10" s="75">
        <v>9741</v>
      </c>
      <c r="AB10" s="75">
        <v>10332</v>
      </c>
      <c r="AC10" s="75">
        <v>10657</v>
      </c>
      <c r="AD10" s="75">
        <v>10447</v>
      </c>
      <c r="AE10" s="75">
        <v>11352</v>
      </c>
      <c r="AF10" s="75">
        <v>10678</v>
      </c>
      <c r="AG10" s="75">
        <v>11008</v>
      </c>
      <c r="AH10" s="75">
        <v>10172</v>
      </c>
      <c r="AI10" s="75">
        <v>10734</v>
      </c>
      <c r="AJ10" s="75">
        <v>11739</v>
      </c>
      <c r="AK10" s="75">
        <v>12181</v>
      </c>
      <c r="AL10" s="75">
        <v>12325</v>
      </c>
      <c r="AM10" s="75">
        <v>13516</v>
      </c>
      <c r="AN10" s="75">
        <v>14551</v>
      </c>
      <c r="AO10" s="75">
        <v>14176</v>
      </c>
      <c r="AP10" s="75">
        <v>14682</v>
      </c>
      <c r="AQ10" s="75">
        <v>14788</v>
      </c>
      <c r="AR10" s="75">
        <v>15025</v>
      </c>
      <c r="AS10" s="75">
        <v>15127</v>
      </c>
      <c r="AT10" s="75">
        <v>13105</v>
      </c>
      <c r="AU10" s="75">
        <v>13931</v>
      </c>
      <c r="AV10" s="75">
        <v>12855</v>
      </c>
      <c r="AW10" s="75">
        <v>14015</v>
      </c>
      <c r="AX10" s="75">
        <v>11836</v>
      </c>
      <c r="AY10" s="75">
        <v>12123</v>
      </c>
      <c r="AZ10" s="75">
        <v>12267</v>
      </c>
      <c r="BA10" s="75">
        <v>10908</v>
      </c>
    </row>
    <row r="11" spans="1:54" s="47" customFormat="1" x14ac:dyDescent="0.2">
      <c r="A11" s="76" t="s">
        <v>167</v>
      </c>
      <c r="B11" s="13">
        <v>41700</v>
      </c>
      <c r="C11" s="13">
        <v>40904</v>
      </c>
      <c r="D11" s="13">
        <v>41931</v>
      </c>
      <c r="E11" s="13">
        <v>43338</v>
      </c>
      <c r="F11" s="13">
        <v>44068</v>
      </c>
      <c r="G11" s="13">
        <v>43320</v>
      </c>
      <c r="H11" s="13">
        <v>40235</v>
      </c>
      <c r="I11" s="13">
        <v>43013</v>
      </c>
      <c r="J11" s="13">
        <v>40452</v>
      </c>
      <c r="K11" s="13">
        <v>39169</v>
      </c>
      <c r="L11" s="13">
        <v>37104</v>
      </c>
      <c r="M11" s="13">
        <v>35388</v>
      </c>
      <c r="N11" s="13">
        <v>39216</v>
      </c>
      <c r="O11" s="13">
        <v>40187</v>
      </c>
      <c r="P11" s="13">
        <v>41072</v>
      </c>
      <c r="Q11" s="13">
        <v>43125</v>
      </c>
      <c r="R11" s="13">
        <v>43090</v>
      </c>
      <c r="S11" s="13">
        <v>42298</v>
      </c>
      <c r="T11" s="13">
        <v>40851</v>
      </c>
      <c r="U11" s="13">
        <v>43861</v>
      </c>
      <c r="V11" s="13">
        <v>40643</v>
      </c>
      <c r="W11" s="13">
        <v>40381</v>
      </c>
      <c r="X11" s="13">
        <v>41117</v>
      </c>
      <c r="Y11" s="13">
        <v>41693</v>
      </c>
      <c r="Z11" s="13">
        <v>41493</v>
      </c>
      <c r="AA11" s="13">
        <v>39846</v>
      </c>
      <c r="AB11" s="13">
        <v>41124</v>
      </c>
      <c r="AC11" s="13">
        <v>42256</v>
      </c>
      <c r="AD11" s="13">
        <v>41890</v>
      </c>
      <c r="AE11" s="13">
        <v>44042</v>
      </c>
      <c r="AF11" s="13">
        <v>41782</v>
      </c>
      <c r="AG11" s="13">
        <v>43090</v>
      </c>
      <c r="AH11" s="13">
        <v>43725</v>
      </c>
      <c r="AI11" s="13">
        <v>44998</v>
      </c>
      <c r="AJ11" s="13">
        <v>43075</v>
      </c>
      <c r="AK11" s="13">
        <v>39935</v>
      </c>
      <c r="AL11" s="13">
        <v>42606</v>
      </c>
      <c r="AM11" s="13">
        <v>42640</v>
      </c>
      <c r="AN11" s="13">
        <v>42820</v>
      </c>
      <c r="AO11" s="13">
        <v>42466</v>
      </c>
      <c r="AP11" s="13">
        <v>40807</v>
      </c>
      <c r="AQ11" s="13">
        <v>42355</v>
      </c>
      <c r="AR11" s="13">
        <v>41592</v>
      </c>
      <c r="AS11" s="13">
        <v>40191</v>
      </c>
      <c r="AT11" s="13">
        <v>41904</v>
      </c>
      <c r="AU11" s="13">
        <v>44918</v>
      </c>
      <c r="AV11" s="13">
        <v>42313</v>
      </c>
      <c r="AW11" s="13">
        <v>43824</v>
      </c>
      <c r="AX11" s="13">
        <v>42204</v>
      </c>
      <c r="AY11" s="13">
        <v>40463</v>
      </c>
      <c r="AZ11" s="13">
        <v>38781</v>
      </c>
      <c r="BA11" s="13">
        <v>33194</v>
      </c>
    </row>
    <row r="12" spans="1:54" s="47" customFormat="1" ht="13.5" thickBot="1" x14ac:dyDescent="0.25">
      <c r="A12" s="78" t="s">
        <v>174</v>
      </c>
      <c r="B12" s="23">
        <v>97318</v>
      </c>
      <c r="C12" s="23">
        <v>95729</v>
      </c>
      <c r="D12" s="23">
        <v>99274</v>
      </c>
      <c r="E12" s="23">
        <v>101828</v>
      </c>
      <c r="F12" s="23">
        <v>102448</v>
      </c>
      <c r="G12" s="23">
        <v>101205</v>
      </c>
      <c r="H12" s="23">
        <v>98079</v>
      </c>
      <c r="I12" s="23">
        <v>99175</v>
      </c>
      <c r="J12" s="23">
        <v>98026</v>
      </c>
      <c r="K12" s="23">
        <v>95367</v>
      </c>
      <c r="L12" s="23">
        <v>92227</v>
      </c>
      <c r="M12" s="23">
        <v>90467</v>
      </c>
      <c r="N12" s="23">
        <v>95613</v>
      </c>
      <c r="O12" s="23">
        <v>93719</v>
      </c>
      <c r="P12" s="23">
        <v>95990</v>
      </c>
      <c r="Q12" s="23">
        <v>97285</v>
      </c>
      <c r="R12" s="23">
        <v>98486</v>
      </c>
      <c r="S12" s="23">
        <v>94970</v>
      </c>
      <c r="T12" s="23">
        <v>95134</v>
      </c>
      <c r="U12" s="23">
        <v>97895</v>
      </c>
      <c r="V12" s="23">
        <v>92738</v>
      </c>
      <c r="W12" s="23">
        <v>94571</v>
      </c>
      <c r="X12" s="23">
        <v>95884</v>
      </c>
      <c r="Y12" s="23">
        <v>96553</v>
      </c>
      <c r="Z12" s="23">
        <v>96521</v>
      </c>
      <c r="AA12" s="23">
        <v>95003</v>
      </c>
      <c r="AB12" s="23">
        <v>94275</v>
      </c>
      <c r="AC12" s="23">
        <v>96136</v>
      </c>
      <c r="AD12" s="23">
        <v>98831</v>
      </c>
      <c r="AE12" s="23">
        <v>102029</v>
      </c>
      <c r="AF12" s="23">
        <v>98228</v>
      </c>
      <c r="AG12" s="23">
        <v>99590</v>
      </c>
      <c r="AH12" s="23">
        <v>99035</v>
      </c>
      <c r="AI12" s="23">
        <v>102109</v>
      </c>
      <c r="AJ12" s="23">
        <v>104470</v>
      </c>
      <c r="AK12" s="23">
        <v>100115</v>
      </c>
      <c r="AL12" s="23">
        <v>106457</v>
      </c>
      <c r="AM12" s="23">
        <v>108337</v>
      </c>
      <c r="AN12" s="23">
        <v>113567</v>
      </c>
      <c r="AO12" s="23">
        <v>108349</v>
      </c>
      <c r="AP12" s="23">
        <v>107283</v>
      </c>
      <c r="AQ12" s="23">
        <v>106641</v>
      </c>
      <c r="AR12" s="23">
        <v>107154</v>
      </c>
      <c r="AS12" s="23">
        <v>106703</v>
      </c>
      <c r="AT12" s="23">
        <v>108769</v>
      </c>
      <c r="AU12" s="23">
        <v>110244</v>
      </c>
      <c r="AV12" s="23">
        <v>104393</v>
      </c>
      <c r="AW12" s="23">
        <v>107029</v>
      </c>
      <c r="AX12" s="23">
        <v>101930</v>
      </c>
      <c r="AY12" s="23">
        <v>99696</v>
      </c>
      <c r="AZ12" s="23">
        <v>99321</v>
      </c>
      <c r="BA12" s="23">
        <v>88077</v>
      </c>
    </row>
    <row r="13" spans="1:54" s="47" customFormat="1" ht="13.5" thickTop="1" x14ac:dyDescent="0.2">
      <c r="A13" s="76"/>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row>
    <row r="14" spans="1:54" s="47" customFormat="1" x14ac:dyDescent="0.2">
      <c r="A14" s="73" t="s">
        <v>175</v>
      </c>
    </row>
    <row r="15" spans="1:54" s="47" customFormat="1" x14ac:dyDescent="0.2">
      <c r="A15" s="74" t="s">
        <v>155</v>
      </c>
      <c r="B15" s="75">
        <v>583.61484599999994</v>
      </c>
      <c r="C15" s="75">
        <v>598.63156400000003</v>
      </c>
      <c r="D15" s="75">
        <v>595.36188700000002</v>
      </c>
      <c r="E15" s="75">
        <v>601.64365999999995</v>
      </c>
      <c r="F15" s="75">
        <v>625.26659500000005</v>
      </c>
      <c r="G15" s="75">
        <v>594.25043900000003</v>
      </c>
      <c r="H15" s="75">
        <v>638.32510600000001</v>
      </c>
      <c r="I15" s="75">
        <v>644.34598100000005</v>
      </c>
      <c r="J15" s="75">
        <v>620.05821100000003</v>
      </c>
      <c r="K15" s="75">
        <v>638.55688999999995</v>
      </c>
      <c r="L15" s="75">
        <v>653.11576300000002</v>
      </c>
      <c r="M15" s="75">
        <v>599.86883999999998</v>
      </c>
      <c r="N15" s="75">
        <v>621.59903299999996</v>
      </c>
      <c r="O15" s="75">
        <v>617.22328400000004</v>
      </c>
      <c r="P15" s="75">
        <v>596.44299699999999</v>
      </c>
      <c r="Q15" s="75">
        <v>614.76101700000004</v>
      </c>
      <c r="R15" s="75">
        <v>584.63469399999997</v>
      </c>
      <c r="S15" s="75">
        <v>567.67952100000002</v>
      </c>
      <c r="T15" s="75">
        <v>612.67516599999999</v>
      </c>
      <c r="U15" s="75">
        <v>617.23116400000004</v>
      </c>
      <c r="V15" s="75">
        <v>566.70693900000003</v>
      </c>
      <c r="W15" s="75">
        <v>599.65092000000004</v>
      </c>
      <c r="X15" s="75">
        <v>602.46411000000001</v>
      </c>
      <c r="Y15" s="75">
        <v>601.21261300000003</v>
      </c>
      <c r="Z15" s="75">
        <v>590.97201399999994</v>
      </c>
      <c r="AA15" s="75">
        <v>574.83432600000003</v>
      </c>
      <c r="AB15" s="75">
        <v>610.93750299999999</v>
      </c>
      <c r="AC15" s="75">
        <v>625.26276800000005</v>
      </c>
      <c r="AD15" s="75">
        <v>633.75498400000004</v>
      </c>
      <c r="AE15" s="75">
        <v>600.74142500000005</v>
      </c>
      <c r="AF15" s="75">
        <v>566.81321200000002</v>
      </c>
      <c r="AG15" s="75">
        <v>609.10682799999995</v>
      </c>
      <c r="AH15" s="75">
        <v>628.030213</v>
      </c>
      <c r="AI15" s="75">
        <v>610.97217499999999</v>
      </c>
      <c r="AJ15" s="75">
        <v>591.232752</v>
      </c>
      <c r="AK15" s="75">
        <v>552.62926200000004</v>
      </c>
      <c r="AL15" s="75">
        <v>608.64074300000004</v>
      </c>
      <c r="AM15" s="75">
        <v>601.55569300000002</v>
      </c>
      <c r="AN15" s="75">
        <v>621.19526199999996</v>
      </c>
      <c r="AO15" s="75">
        <v>639.81134199999997</v>
      </c>
      <c r="AP15" s="75">
        <v>576.76521500000001</v>
      </c>
      <c r="AQ15" s="75">
        <v>619.61306000000002</v>
      </c>
      <c r="AR15" s="75">
        <v>625.76474900000005</v>
      </c>
      <c r="AS15" s="75">
        <v>613.18898999999999</v>
      </c>
      <c r="AT15" s="75">
        <v>596.68814699999996</v>
      </c>
      <c r="AU15" s="75">
        <v>616.26588600000002</v>
      </c>
      <c r="AV15" s="75">
        <v>623.36433499999998</v>
      </c>
      <c r="AW15" s="75">
        <v>623.84835499999997</v>
      </c>
      <c r="AX15" s="75">
        <v>582.01986499999998</v>
      </c>
      <c r="AY15" s="75">
        <v>566.61334999999997</v>
      </c>
      <c r="AZ15" s="75">
        <v>581.50296500000002</v>
      </c>
      <c r="BA15" s="75">
        <v>448.48865799999999</v>
      </c>
    </row>
    <row r="16" spans="1:54" s="47" customFormat="1" x14ac:dyDescent="0.2">
      <c r="A16" s="76" t="s">
        <v>157</v>
      </c>
      <c r="B16" s="13">
        <v>912.24479299999996</v>
      </c>
      <c r="C16" s="13">
        <v>889.60349599999995</v>
      </c>
      <c r="D16" s="13">
        <v>879.47500500000001</v>
      </c>
      <c r="E16" s="13">
        <v>878.01972699999999</v>
      </c>
      <c r="F16" s="13">
        <v>891.74361699999997</v>
      </c>
      <c r="G16" s="13">
        <v>900.40163299999995</v>
      </c>
      <c r="H16" s="13">
        <v>875.74241500000005</v>
      </c>
      <c r="I16" s="13">
        <v>881.45382700000005</v>
      </c>
      <c r="J16" s="13">
        <v>865.56675800000005</v>
      </c>
      <c r="K16" s="13">
        <v>821.65931699999999</v>
      </c>
      <c r="L16" s="13">
        <v>903.601947</v>
      </c>
      <c r="M16" s="13">
        <v>818.14723800000002</v>
      </c>
      <c r="N16" s="13">
        <v>810.34564699999999</v>
      </c>
      <c r="O16" s="13">
        <v>775.49329999999998</v>
      </c>
      <c r="P16" s="13">
        <v>812.14272400000004</v>
      </c>
      <c r="Q16" s="13">
        <v>750.67012</v>
      </c>
      <c r="R16" s="13">
        <v>747.97202600000003</v>
      </c>
      <c r="S16" s="13">
        <v>769.19346800000005</v>
      </c>
      <c r="T16" s="13">
        <v>616.81713400000001</v>
      </c>
      <c r="U16" s="13">
        <v>735.19149500000003</v>
      </c>
      <c r="V16" s="13">
        <v>671.52660100000003</v>
      </c>
      <c r="W16" s="13">
        <v>664.73405700000001</v>
      </c>
      <c r="X16" s="13">
        <v>736.34846900000002</v>
      </c>
      <c r="Y16" s="13">
        <v>761.735411</v>
      </c>
      <c r="Z16" s="13">
        <v>727.09641399999998</v>
      </c>
      <c r="AA16" s="13">
        <v>739.85873100000003</v>
      </c>
      <c r="AB16" s="13">
        <v>754.03308900000002</v>
      </c>
      <c r="AC16" s="13">
        <v>736.77707799999996</v>
      </c>
      <c r="AD16" s="13">
        <v>826.39577899999995</v>
      </c>
      <c r="AE16" s="13">
        <v>794.41719899999998</v>
      </c>
      <c r="AF16" s="13">
        <v>815.72066400000006</v>
      </c>
      <c r="AG16" s="13">
        <v>845.96084299999995</v>
      </c>
      <c r="AH16" s="13">
        <v>778.81639800000005</v>
      </c>
      <c r="AI16" s="13">
        <v>850.85900400000003</v>
      </c>
      <c r="AJ16" s="13">
        <v>902.14861199999996</v>
      </c>
      <c r="AK16" s="13">
        <v>765.11617000000001</v>
      </c>
      <c r="AL16" s="13">
        <v>872.06697299999996</v>
      </c>
      <c r="AM16" s="13">
        <v>771.68184499999995</v>
      </c>
      <c r="AN16" s="13">
        <v>898.93926199999999</v>
      </c>
      <c r="AO16" s="13">
        <v>858.84914900000001</v>
      </c>
      <c r="AP16" s="13">
        <v>938.21758599999998</v>
      </c>
      <c r="AQ16" s="13">
        <v>852.34237599999994</v>
      </c>
      <c r="AR16" s="13">
        <v>870.89929600000005</v>
      </c>
      <c r="AS16" s="13">
        <v>886.31966499999999</v>
      </c>
      <c r="AT16" s="13">
        <v>958.88105399999995</v>
      </c>
      <c r="AU16" s="13">
        <v>937.24685999999997</v>
      </c>
      <c r="AV16" s="13">
        <v>937.01233500000001</v>
      </c>
      <c r="AW16" s="13">
        <v>943.63284199999998</v>
      </c>
      <c r="AX16" s="13">
        <v>876.79280200000005</v>
      </c>
      <c r="AY16" s="13">
        <v>927.84377400000005</v>
      </c>
      <c r="AZ16" s="13">
        <v>886.83962299999996</v>
      </c>
      <c r="BA16" s="13">
        <v>863.31579299999999</v>
      </c>
    </row>
    <row r="17" spans="1:53" s="47" customFormat="1" x14ac:dyDescent="0.2">
      <c r="A17" s="76" t="s">
        <v>159</v>
      </c>
      <c r="B17" s="13">
        <v>349.50158100000056</v>
      </c>
      <c r="C17" s="13">
        <v>353.49238699999984</v>
      </c>
      <c r="D17" s="13">
        <v>394.83355899999998</v>
      </c>
      <c r="E17" s="13">
        <v>385.82619399999999</v>
      </c>
      <c r="F17" s="13">
        <v>422.74955699999998</v>
      </c>
      <c r="G17" s="13">
        <v>394.36036999999999</v>
      </c>
      <c r="H17" s="13">
        <v>387.43006700000001</v>
      </c>
      <c r="I17" s="13">
        <v>390.620948</v>
      </c>
      <c r="J17" s="13">
        <v>365.033278</v>
      </c>
      <c r="K17" s="13">
        <v>321.020984</v>
      </c>
      <c r="L17" s="13">
        <v>356.43230299999999</v>
      </c>
      <c r="M17" s="13">
        <v>299.17169899999999</v>
      </c>
      <c r="N17" s="13">
        <v>348.126529</v>
      </c>
      <c r="O17" s="13">
        <v>338.68469399999998</v>
      </c>
      <c r="P17" s="13">
        <v>317.07403799999997</v>
      </c>
      <c r="Q17" s="13">
        <v>303.82251400000001</v>
      </c>
      <c r="R17" s="13">
        <v>374.79515600000002</v>
      </c>
      <c r="S17" s="13">
        <v>366.63455099999999</v>
      </c>
      <c r="T17" s="13">
        <v>383.18429400000002</v>
      </c>
      <c r="U17" s="13">
        <v>380.374864</v>
      </c>
      <c r="V17" s="13">
        <v>356.50473</v>
      </c>
      <c r="W17" s="13">
        <v>360.60316</v>
      </c>
      <c r="X17" s="13">
        <v>380.24165399999998</v>
      </c>
      <c r="Y17" s="13">
        <v>374.38745399999999</v>
      </c>
      <c r="Z17" s="13">
        <v>395.03163599999999</v>
      </c>
      <c r="AA17" s="13">
        <v>401.95050700000002</v>
      </c>
      <c r="AB17" s="13">
        <v>348.674734</v>
      </c>
      <c r="AC17" s="13">
        <v>369.45215400000001</v>
      </c>
      <c r="AD17" s="13">
        <v>402.20256699999999</v>
      </c>
      <c r="AE17" s="13">
        <v>392.95693799999998</v>
      </c>
      <c r="AF17" s="13">
        <v>421.218391</v>
      </c>
      <c r="AG17" s="13">
        <v>438.32582000000002</v>
      </c>
      <c r="AH17" s="13">
        <v>359.98523599999999</v>
      </c>
      <c r="AI17" s="13">
        <v>356.46954499999998</v>
      </c>
      <c r="AJ17" s="13">
        <v>376.93133599999999</v>
      </c>
      <c r="AK17" s="13">
        <v>354.02977600000003</v>
      </c>
      <c r="AL17" s="13">
        <v>448.92214899999999</v>
      </c>
      <c r="AM17" s="13">
        <v>400.10265600000002</v>
      </c>
      <c r="AN17" s="13">
        <v>459.90805</v>
      </c>
      <c r="AO17" s="13">
        <v>411.444684</v>
      </c>
      <c r="AP17" s="13">
        <v>449.391955</v>
      </c>
      <c r="AQ17" s="13">
        <v>446.03370000000001</v>
      </c>
      <c r="AR17" s="13">
        <v>453.54918300000003</v>
      </c>
      <c r="AS17" s="13">
        <v>453.27487400000001</v>
      </c>
      <c r="AT17" s="13">
        <v>409.13500900000003</v>
      </c>
      <c r="AU17" s="13">
        <v>471.21274699999998</v>
      </c>
      <c r="AV17" s="13">
        <v>415.929936</v>
      </c>
      <c r="AW17" s="13">
        <v>466.58985999999999</v>
      </c>
      <c r="AX17" s="13">
        <v>409.04413299999999</v>
      </c>
      <c r="AY17" s="13">
        <v>354.10938900000002</v>
      </c>
      <c r="AZ17" s="13">
        <v>396.91796799999997</v>
      </c>
      <c r="BA17" s="13">
        <v>424.08659699999998</v>
      </c>
    </row>
    <row r="18" spans="1:53" s="47" customFormat="1" x14ac:dyDescent="0.2">
      <c r="A18" s="76" t="s">
        <v>161</v>
      </c>
      <c r="B18" s="13">
        <v>51.234296000000001</v>
      </c>
      <c r="C18" s="13">
        <v>64.031236000000007</v>
      </c>
      <c r="D18" s="13">
        <v>67.062127000000004</v>
      </c>
      <c r="E18" s="13">
        <v>61.935889000000003</v>
      </c>
      <c r="F18" s="13">
        <v>65.317941000000005</v>
      </c>
      <c r="G18" s="13">
        <v>69.369163</v>
      </c>
      <c r="H18" s="13">
        <v>79.341307999999998</v>
      </c>
      <c r="I18" s="13">
        <v>68.267292999999995</v>
      </c>
      <c r="J18" s="13">
        <v>80.166381999999999</v>
      </c>
      <c r="K18" s="13">
        <v>79.767126000000005</v>
      </c>
      <c r="L18" s="13">
        <v>76.446974999999995</v>
      </c>
      <c r="M18" s="13">
        <v>66.681028999999995</v>
      </c>
      <c r="N18" s="13">
        <v>61.359526000000002</v>
      </c>
      <c r="O18" s="13">
        <v>74.064932999999996</v>
      </c>
      <c r="P18" s="13">
        <v>81.767692999999994</v>
      </c>
      <c r="Q18" s="13">
        <v>82.552721000000005</v>
      </c>
      <c r="R18" s="13">
        <v>80.509157000000002</v>
      </c>
      <c r="S18" s="13">
        <v>80.254013999999998</v>
      </c>
      <c r="T18" s="13">
        <v>90.551406</v>
      </c>
      <c r="U18" s="13">
        <v>78.643542999999994</v>
      </c>
      <c r="V18" s="13">
        <v>77.015107999999998</v>
      </c>
      <c r="W18" s="13">
        <v>74.176497999999995</v>
      </c>
      <c r="X18" s="13">
        <v>76.312965000000005</v>
      </c>
      <c r="Y18" s="13">
        <v>77.458614999999995</v>
      </c>
      <c r="Z18" s="13">
        <v>78.425054000000003</v>
      </c>
      <c r="AA18" s="13">
        <v>70.215987999999996</v>
      </c>
      <c r="AB18" s="13">
        <v>56.100050000000003</v>
      </c>
      <c r="AC18" s="13">
        <v>55.218896000000001</v>
      </c>
      <c r="AD18" s="13">
        <v>73.211434999999994</v>
      </c>
      <c r="AE18" s="13">
        <v>72.983585000000005</v>
      </c>
      <c r="AF18" s="13">
        <v>70.854465000000005</v>
      </c>
      <c r="AG18" s="13">
        <v>72.374799999999993</v>
      </c>
      <c r="AH18" s="13">
        <v>73.484611999999998</v>
      </c>
      <c r="AI18" s="13">
        <v>72.684417999999994</v>
      </c>
      <c r="AJ18" s="13">
        <v>67.124953000000005</v>
      </c>
      <c r="AK18" s="13">
        <v>56.942106000000003</v>
      </c>
      <c r="AL18" s="13">
        <v>75.247140999999999</v>
      </c>
      <c r="AM18" s="13">
        <v>80.160290000000003</v>
      </c>
      <c r="AN18" s="13">
        <v>76.254925999999998</v>
      </c>
      <c r="AO18" s="13">
        <v>72.169233000000006</v>
      </c>
      <c r="AP18" s="13">
        <v>64.397120000000001</v>
      </c>
      <c r="AQ18" s="13">
        <v>79.767291999999998</v>
      </c>
      <c r="AR18" s="13">
        <v>65.567158000000006</v>
      </c>
      <c r="AS18" s="13">
        <v>78.296496000000005</v>
      </c>
      <c r="AT18" s="13">
        <v>69.415300000000002</v>
      </c>
      <c r="AU18" s="13">
        <v>76.722375</v>
      </c>
      <c r="AV18" s="13">
        <v>69.935424999999995</v>
      </c>
      <c r="AW18" s="13">
        <v>70.371043999999998</v>
      </c>
      <c r="AX18" s="13">
        <v>71.371450999999993</v>
      </c>
      <c r="AY18" s="13">
        <v>66.156972999999994</v>
      </c>
      <c r="AZ18" s="13">
        <v>69.611164000000002</v>
      </c>
      <c r="BA18" s="13">
        <v>49.649962000000002</v>
      </c>
    </row>
    <row r="19" spans="1:53" s="47" customFormat="1" x14ac:dyDescent="0.2">
      <c r="A19" s="76" t="s">
        <v>163</v>
      </c>
      <c r="B19" s="13">
        <v>167.275554</v>
      </c>
      <c r="C19" s="13">
        <v>131.64055500000001</v>
      </c>
      <c r="D19" s="13">
        <v>183.04884699999999</v>
      </c>
      <c r="E19" s="13">
        <v>153.85751500000001</v>
      </c>
      <c r="F19" s="13">
        <v>163.53516999999999</v>
      </c>
      <c r="G19" s="13">
        <v>189.75534300000001</v>
      </c>
      <c r="H19" s="13">
        <v>168.50495900000001</v>
      </c>
      <c r="I19" s="13">
        <v>133.62828300000001</v>
      </c>
      <c r="J19" s="13">
        <v>174.93311299999999</v>
      </c>
      <c r="K19" s="13">
        <v>179.88346100000001</v>
      </c>
      <c r="L19" s="13">
        <v>163.69080600000001</v>
      </c>
      <c r="M19" s="13">
        <v>223.66336200000001</v>
      </c>
      <c r="N19" s="13">
        <v>175.70245700000001</v>
      </c>
      <c r="O19" s="13">
        <v>203.80353500000001</v>
      </c>
      <c r="P19" s="13">
        <v>200.09188700000001</v>
      </c>
      <c r="Q19" s="13">
        <v>251.490317</v>
      </c>
      <c r="R19" s="13">
        <v>248.960082</v>
      </c>
      <c r="S19" s="13">
        <v>190.37339700000001</v>
      </c>
      <c r="T19" s="13">
        <v>181.010142</v>
      </c>
      <c r="U19" s="13">
        <v>172.86044799999999</v>
      </c>
      <c r="V19" s="13">
        <v>209.812622</v>
      </c>
      <c r="W19" s="13">
        <v>212.00811400000001</v>
      </c>
      <c r="X19" s="13">
        <v>234.51806099999999</v>
      </c>
      <c r="Y19" s="13">
        <v>228.03241700000001</v>
      </c>
      <c r="Z19" s="13">
        <v>205.413838</v>
      </c>
      <c r="AA19" s="13">
        <v>151.24858399999999</v>
      </c>
      <c r="AB19" s="13">
        <v>155.14165800000001</v>
      </c>
      <c r="AC19" s="13">
        <v>155.91462100000001</v>
      </c>
      <c r="AD19" s="13">
        <v>167.120002</v>
      </c>
      <c r="AE19" s="13">
        <v>165.766469</v>
      </c>
      <c r="AF19" s="13">
        <v>174.85781</v>
      </c>
      <c r="AG19" s="13">
        <v>184.700222</v>
      </c>
      <c r="AH19" s="13">
        <v>188.561228</v>
      </c>
      <c r="AI19" s="13">
        <v>232.41521800000001</v>
      </c>
      <c r="AJ19" s="13">
        <v>214.593829</v>
      </c>
      <c r="AK19" s="13">
        <v>261.53129000000001</v>
      </c>
      <c r="AL19" s="13">
        <v>270.779629</v>
      </c>
      <c r="AM19" s="13">
        <v>254.314774</v>
      </c>
      <c r="AN19" s="13">
        <v>224.414795</v>
      </c>
      <c r="AO19" s="13">
        <v>214.413218</v>
      </c>
      <c r="AP19" s="13">
        <v>281.01939499999997</v>
      </c>
      <c r="AQ19" s="13">
        <v>254.01675900000001</v>
      </c>
      <c r="AR19" s="13">
        <v>240.025137</v>
      </c>
      <c r="AS19" s="13">
        <v>289.20138700000001</v>
      </c>
      <c r="AT19" s="13">
        <v>325.63281799999999</v>
      </c>
      <c r="AU19" s="13">
        <v>260.472171</v>
      </c>
      <c r="AV19" s="13">
        <v>308.03035699999998</v>
      </c>
      <c r="AW19" s="13">
        <v>317.056917</v>
      </c>
      <c r="AX19" s="13">
        <v>199.643011</v>
      </c>
      <c r="AY19" s="13">
        <v>258.73892799999999</v>
      </c>
      <c r="AZ19" s="13">
        <v>234.46166700000001</v>
      </c>
      <c r="BA19" s="13">
        <v>235.51133100000001</v>
      </c>
    </row>
    <row r="20" spans="1:53" s="47" customFormat="1" x14ac:dyDescent="0.2">
      <c r="A20" s="77" t="s">
        <v>165</v>
      </c>
      <c r="B20" s="75">
        <v>922.67377699999997</v>
      </c>
      <c r="C20" s="75">
        <v>904.77802899999995</v>
      </c>
      <c r="D20" s="75">
        <v>965.61225100000001</v>
      </c>
      <c r="E20" s="75">
        <v>917.12320199999999</v>
      </c>
      <c r="F20" s="75">
        <v>914.49393099999998</v>
      </c>
      <c r="G20" s="75">
        <v>1056.969793</v>
      </c>
      <c r="H20" s="75">
        <v>938.22139700000002</v>
      </c>
      <c r="I20" s="75">
        <v>1104.0732620000001</v>
      </c>
      <c r="J20" s="75">
        <v>1012.217002</v>
      </c>
      <c r="K20" s="75">
        <v>972.82106799999997</v>
      </c>
      <c r="L20" s="75">
        <v>846.46632899999997</v>
      </c>
      <c r="M20" s="75">
        <v>959.43812800000001</v>
      </c>
      <c r="N20" s="75">
        <v>996.64138300000002</v>
      </c>
      <c r="O20" s="75">
        <v>906.38513599999999</v>
      </c>
      <c r="P20" s="75">
        <v>874.96708599999999</v>
      </c>
      <c r="Q20" s="75">
        <v>821.309978</v>
      </c>
      <c r="R20" s="75">
        <v>898.41579999999999</v>
      </c>
      <c r="S20" s="75">
        <v>845.61598800000002</v>
      </c>
      <c r="T20" s="75">
        <v>755.09700999999995</v>
      </c>
      <c r="U20" s="75">
        <v>842.81852100000003</v>
      </c>
      <c r="V20" s="75">
        <v>646.17931799999997</v>
      </c>
      <c r="W20" s="75">
        <v>804.23023000000001</v>
      </c>
      <c r="X20" s="75">
        <v>736.50074300000006</v>
      </c>
      <c r="Y20" s="75">
        <v>793.59796300000005</v>
      </c>
      <c r="Z20" s="75">
        <v>740.86177399999997</v>
      </c>
      <c r="AA20" s="75">
        <v>782.24087099999997</v>
      </c>
      <c r="AB20" s="75">
        <v>876.39322200000004</v>
      </c>
      <c r="AC20" s="75">
        <v>907.41869399999996</v>
      </c>
      <c r="AD20" s="75">
        <v>862.12639799999999</v>
      </c>
      <c r="AE20" s="75">
        <v>927.799081</v>
      </c>
      <c r="AF20" s="75">
        <v>854.08396300000004</v>
      </c>
      <c r="AG20" s="75">
        <v>874.91484100000002</v>
      </c>
      <c r="AH20" s="75">
        <v>826.201641</v>
      </c>
      <c r="AI20" s="75">
        <v>845.23886800000002</v>
      </c>
      <c r="AJ20" s="75">
        <v>954.63787500000001</v>
      </c>
      <c r="AK20" s="75">
        <v>1054.1154759999999</v>
      </c>
      <c r="AL20" s="75">
        <v>1012.289907</v>
      </c>
      <c r="AM20" s="75">
        <v>1190.1178379999999</v>
      </c>
      <c r="AN20" s="75">
        <v>1241.89004</v>
      </c>
      <c r="AO20" s="75">
        <v>1283.9021090000001</v>
      </c>
      <c r="AP20" s="75">
        <v>1312.288309</v>
      </c>
      <c r="AQ20" s="75">
        <v>1361.2172499999999</v>
      </c>
      <c r="AR20" s="75">
        <v>1300.0738940000001</v>
      </c>
      <c r="AS20" s="75">
        <v>1340.5947269999999</v>
      </c>
      <c r="AT20" s="75">
        <v>1242.7119520000001</v>
      </c>
      <c r="AU20" s="75">
        <v>1309.6312129999999</v>
      </c>
      <c r="AV20" s="75">
        <v>1175.8047730000001</v>
      </c>
      <c r="AW20" s="75">
        <v>1337.002309</v>
      </c>
      <c r="AX20" s="75">
        <v>1061.747877</v>
      </c>
      <c r="AY20" s="75">
        <v>1129.789595</v>
      </c>
      <c r="AZ20" s="75">
        <v>1223.5475140000001</v>
      </c>
      <c r="BA20" s="75">
        <v>961.98002299999996</v>
      </c>
    </row>
    <row r="21" spans="1:53" s="47" customFormat="1" x14ac:dyDescent="0.2">
      <c r="A21" s="76" t="s">
        <v>167</v>
      </c>
      <c r="B21" s="13">
        <v>1045.4502319999999</v>
      </c>
      <c r="C21" s="13">
        <v>1015.623937</v>
      </c>
      <c r="D21" s="13">
        <v>1053.461814</v>
      </c>
      <c r="E21" s="13">
        <v>1064.1950469999999</v>
      </c>
      <c r="F21" s="13">
        <v>1022.137008</v>
      </c>
      <c r="G21" s="13">
        <v>1023.5894960000001</v>
      </c>
      <c r="H21" s="13">
        <v>953.54690100000005</v>
      </c>
      <c r="I21" s="13">
        <v>1013.338302</v>
      </c>
      <c r="J21" s="13">
        <v>955.53387099999998</v>
      </c>
      <c r="K21" s="13">
        <v>961.81960100000003</v>
      </c>
      <c r="L21" s="13">
        <v>926.74338899999998</v>
      </c>
      <c r="M21" s="13">
        <v>840.97819000000004</v>
      </c>
      <c r="N21" s="13">
        <v>963.58278399999995</v>
      </c>
      <c r="O21" s="13">
        <v>1034.3880449999999</v>
      </c>
      <c r="P21" s="13">
        <v>1040.608416</v>
      </c>
      <c r="Q21" s="13">
        <v>1065.2572869999999</v>
      </c>
      <c r="R21" s="13">
        <v>1083.646002</v>
      </c>
      <c r="S21" s="13">
        <v>1050.141476</v>
      </c>
      <c r="T21" s="13">
        <v>1024.287069</v>
      </c>
      <c r="U21" s="13">
        <v>1091.7102580000001</v>
      </c>
      <c r="V21" s="13">
        <v>1002.80752</v>
      </c>
      <c r="W21" s="13">
        <v>1024.270992</v>
      </c>
      <c r="X21" s="13">
        <v>1061.7773010000001</v>
      </c>
      <c r="Y21" s="13">
        <v>1008.447822</v>
      </c>
      <c r="Z21" s="13">
        <v>1022.482474</v>
      </c>
      <c r="AA21" s="13">
        <v>966.39276400000006</v>
      </c>
      <c r="AB21" s="13">
        <v>1018.509813</v>
      </c>
      <c r="AC21" s="13">
        <v>1051.4653900000001</v>
      </c>
      <c r="AD21" s="13">
        <v>1054.396823</v>
      </c>
      <c r="AE21" s="13">
        <v>1098.268427</v>
      </c>
      <c r="AF21" s="13">
        <v>1043.687856</v>
      </c>
      <c r="AG21" s="13">
        <v>1095.8716750000001</v>
      </c>
      <c r="AH21" s="13">
        <v>1060.4454370000001</v>
      </c>
      <c r="AI21" s="13">
        <v>1078.8966290000001</v>
      </c>
      <c r="AJ21" s="13">
        <v>1045.3900189999999</v>
      </c>
      <c r="AK21" s="13">
        <v>899.91389700000002</v>
      </c>
      <c r="AL21" s="13">
        <v>1038.884264</v>
      </c>
      <c r="AM21" s="13">
        <v>1053.7639220000001</v>
      </c>
      <c r="AN21" s="13">
        <v>1054.5593590000001</v>
      </c>
      <c r="AO21" s="13">
        <v>1044.133122</v>
      </c>
      <c r="AP21" s="13">
        <v>1004.427082</v>
      </c>
      <c r="AQ21" s="13">
        <v>1048.265065</v>
      </c>
      <c r="AR21" s="13">
        <v>1023.621383</v>
      </c>
      <c r="AS21" s="13">
        <v>987.95568400000002</v>
      </c>
      <c r="AT21" s="13">
        <v>1032.9344940000001</v>
      </c>
      <c r="AU21" s="13">
        <v>1067.2400729999999</v>
      </c>
      <c r="AV21" s="13">
        <v>1015.5924690000001</v>
      </c>
      <c r="AW21" s="13">
        <v>1058.5252399999999</v>
      </c>
      <c r="AX21" s="13">
        <v>1052.0532700000001</v>
      </c>
      <c r="AY21" s="13">
        <v>1005.021424</v>
      </c>
      <c r="AZ21" s="13">
        <v>977.42489499999999</v>
      </c>
      <c r="BA21" s="13">
        <v>764.98213299999998</v>
      </c>
    </row>
    <row r="22" spans="1:53" s="47" customFormat="1" ht="13.5" thickBot="1" x14ac:dyDescent="0.25">
      <c r="A22" s="78" t="s">
        <v>176</v>
      </c>
      <c r="B22" s="23">
        <v>4031.9950790000003</v>
      </c>
      <c r="C22" s="23">
        <v>3957.8012039999994</v>
      </c>
      <c r="D22" s="23">
        <v>4138.8554899999999</v>
      </c>
      <c r="E22" s="23">
        <v>4062.6012340000007</v>
      </c>
      <c r="F22" s="23">
        <v>4105.2438190000003</v>
      </c>
      <c r="G22" s="23">
        <v>4228.6962370000001</v>
      </c>
      <c r="H22" s="23">
        <v>4041.1121530000005</v>
      </c>
      <c r="I22" s="23">
        <v>4235.7278960000003</v>
      </c>
      <c r="J22" s="23">
        <v>4073.5086149999997</v>
      </c>
      <c r="K22" s="23">
        <v>3975.5284469999997</v>
      </c>
      <c r="L22" s="23">
        <v>3926.4975119999999</v>
      </c>
      <c r="M22" s="23">
        <v>3807.9484860000002</v>
      </c>
      <c r="N22" s="23">
        <v>3977.3573590000005</v>
      </c>
      <c r="O22" s="23">
        <v>3950.0429269999995</v>
      </c>
      <c r="P22" s="23">
        <v>3923.0948410000001</v>
      </c>
      <c r="Q22" s="23">
        <v>3889.8639539999999</v>
      </c>
      <c r="R22" s="23">
        <v>4018.9329169999996</v>
      </c>
      <c r="S22" s="23">
        <v>3869.8924150000003</v>
      </c>
      <c r="T22" s="23">
        <v>3663.6222210000001</v>
      </c>
      <c r="U22" s="23">
        <v>3918.830293</v>
      </c>
      <c r="V22" s="23">
        <v>3530.5528380000001</v>
      </c>
      <c r="W22" s="23">
        <v>3739.6739710000002</v>
      </c>
      <c r="X22" s="23">
        <v>3828.1633030000003</v>
      </c>
      <c r="Y22" s="23">
        <v>3844.8722950000001</v>
      </c>
      <c r="Z22" s="23">
        <v>3760.2832039999998</v>
      </c>
      <c r="AA22" s="23">
        <v>3686.741771</v>
      </c>
      <c r="AB22" s="23">
        <v>3819.7900690000001</v>
      </c>
      <c r="AC22" s="23">
        <v>3901.5096010000007</v>
      </c>
      <c r="AD22" s="23">
        <v>4019.2079880000001</v>
      </c>
      <c r="AE22" s="23">
        <v>4052.9331240000001</v>
      </c>
      <c r="AF22" s="23">
        <v>3947.2363609999998</v>
      </c>
      <c r="AG22" s="23">
        <v>4121.2550289999999</v>
      </c>
      <c r="AH22" s="23">
        <v>3915.5247650000001</v>
      </c>
      <c r="AI22" s="23">
        <v>4047.5358569999999</v>
      </c>
      <c r="AJ22" s="23">
        <v>4152.0593759999992</v>
      </c>
      <c r="AK22" s="23">
        <v>3944.2779770000002</v>
      </c>
      <c r="AL22" s="23">
        <v>4326.8308059999999</v>
      </c>
      <c r="AM22" s="23">
        <v>4351.6970179999998</v>
      </c>
      <c r="AN22" s="23">
        <v>4577.1616940000004</v>
      </c>
      <c r="AO22" s="23">
        <v>4524.7228570000007</v>
      </c>
      <c r="AP22" s="23">
        <v>4626.5066619999998</v>
      </c>
      <c r="AQ22" s="23">
        <v>4661.255502</v>
      </c>
      <c r="AR22" s="23">
        <v>4579.5007999999998</v>
      </c>
      <c r="AS22" s="23">
        <v>4648.8318230000004</v>
      </c>
      <c r="AT22" s="23">
        <v>4635.3987740000002</v>
      </c>
      <c r="AU22" s="23">
        <v>4738.7913249999992</v>
      </c>
      <c r="AV22" s="23">
        <v>4545.6696300000003</v>
      </c>
      <c r="AW22" s="23">
        <v>4817.0265669999999</v>
      </c>
      <c r="AX22" s="23">
        <v>4252.6724090000007</v>
      </c>
      <c r="AY22" s="23">
        <v>4308.2734330000003</v>
      </c>
      <c r="AZ22" s="23">
        <v>4370.3057959999996</v>
      </c>
      <c r="BA22" s="23">
        <v>3748.0144969999997</v>
      </c>
    </row>
    <row r="23" spans="1:53" s="47" customFormat="1" ht="13.5" thickTop="1" x14ac:dyDescent="0.2"/>
    <row r="24" spans="1:53" s="47" customFormat="1" x14ac:dyDescent="0.2"/>
    <row r="25" spans="1:53" s="47" customFormat="1" x14ac:dyDescent="0.2"/>
    <row r="26" spans="1:53" s="47" customFormat="1" x14ac:dyDescent="0.2"/>
    <row r="27" spans="1:53" s="47" customFormat="1" x14ac:dyDescent="0.2"/>
    <row r="28" spans="1:53" s="47" customFormat="1" x14ac:dyDescent="0.2"/>
    <row r="29" spans="1:53" s="47" customFormat="1" x14ac:dyDescent="0.2"/>
    <row r="30" spans="1:53" s="47" customFormat="1" x14ac:dyDescent="0.2"/>
    <row r="31" spans="1:53" s="47" customFormat="1" x14ac:dyDescent="0.2"/>
    <row r="32" spans="1:53" s="47" customFormat="1" x14ac:dyDescent="0.2"/>
    <row r="33" s="47" customFormat="1" x14ac:dyDescent="0.2"/>
    <row r="34" s="47" customFormat="1" x14ac:dyDescent="0.2"/>
    <row r="35" s="47" customFormat="1" x14ac:dyDescent="0.2"/>
    <row r="36" s="47" customFormat="1" x14ac:dyDescent="0.2"/>
    <row r="37" s="47" customFormat="1" x14ac:dyDescent="0.2"/>
    <row r="38" s="47" customFormat="1" x14ac:dyDescent="0.2"/>
    <row r="39" s="47" customFormat="1" x14ac:dyDescent="0.2"/>
    <row r="40" s="47" customFormat="1" x14ac:dyDescent="0.2"/>
    <row r="41" s="47" customFormat="1" x14ac:dyDescent="0.2"/>
    <row r="42" s="47" customFormat="1" x14ac:dyDescent="0.2"/>
    <row r="43" s="47" customFormat="1" x14ac:dyDescent="0.2"/>
    <row r="44" s="47" customFormat="1" x14ac:dyDescent="0.2"/>
    <row r="45" s="47" customFormat="1" x14ac:dyDescent="0.2"/>
    <row r="46" s="47" customFormat="1" x14ac:dyDescent="0.2"/>
    <row r="47" s="47" customFormat="1" x14ac:dyDescent="0.2"/>
    <row r="48" s="47" customFormat="1" x14ac:dyDescent="0.2"/>
    <row r="49" s="47" customFormat="1" x14ac:dyDescent="0.2"/>
    <row r="50" s="47" customFormat="1" x14ac:dyDescent="0.2"/>
    <row r="51" s="47" customFormat="1" x14ac:dyDescent="0.2"/>
    <row r="52" s="47" customFormat="1" x14ac:dyDescent="0.2"/>
    <row r="53" s="47" customFormat="1" x14ac:dyDescent="0.2"/>
    <row r="54" s="47" customFormat="1" x14ac:dyDescent="0.2"/>
  </sheetData>
  <sheetProtection algorithmName="SHA-512" hashValue="m/wNcSG3fVxxlSj2u1a5z8xWmucm95yhcWQ2hIpe51UhyQdiYiaGCVL+hgINdt5JpsCgxar3DtbInhlBEn5WzA==" saltValue="ayEMkfAAsraftSDSdH3IBw==" spinCount="100000" sheet="1" objects="1" scenarios="1"/>
  <mergeCells count="1">
    <mergeCell ref="A1:BA1"/>
  </mergeCells>
  <pageMargins left="0.17" right="0.17" top="0.17" bottom="0.5" header="0.17" footer="0.5"/>
  <pageSetup scale="70" fitToWidth="0" orientation="landscape" r:id="rId1"/>
  <headerFooter alignWithMargins="0"/>
  <colBreaks count="3" manualBreakCount="3">
    <brk id="14" max="48" man="1"/>
    <brk id="27" max="48" man="1"/>
    <brk id="40" max="48" man="1"/>
  </col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A8D5989-DF82-410E-9220-5D3E854436A9}">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40</vt:i4>
      </vt:variant>
    </vt:vector>
  </HeadingPairs>
  <TitlesOfParts>
    <vt:vector size="65" baseType="lpstr">
      <vt:lpstr>Groupe de produits AAR - Fr</vt:lpstr>
      <vt:lpstr>AAR Commodity Grouping - En</vt:lpstr>
      <vt:lpstr>Summary</vt:lpstr>
      <vt:lpstr>AAR 2026</vt:lpstr>
      <vt:lpstr>AAR 2025</vt:lpstr>
      <vt:lpstr>AAR 2024</vt:lpstr>
      <vt:lpstr>AAR 2023</vt:lpstr>
      <vt:lpstr>AAR 2022</vt:lpstr>
      <vt:lpstr>AAR 2021</vt:lpstr>
      <vt:lpstr>AAR 2020</vt:lpstr>
      <vt:lpstr>AAR 2019</vt:lpstr>
      <vt:lpstr>AAR 2018</vt:lpstr>
      <vt:lpstr>AAR 2017</vt:lpstr>
      <vt:lpstr>AAR 2016</vt:lpstr>
      <vt:lpstr>BU 2026</vt:lpstr>
      <vt:lpstr>BU 2025</vt:lpstr>
      <vt:lpstr>BU 2024</vt:lpstr>
      <vt:lpstr>BU 2023</vt:lpstr>
      <vt:lpstr>BU 2022</vt:lpstr>
      <vt:lpstr>BU 2021</vt:lpstr>
      <vt:lpstr>BU 2020</vt:lpstr>
      <vt:lpstr>BU 2019</vt:lpstr>
      <vt:lpstr>BU 2018</vt:lpstr>
      <vt:lpstr>BU 2017</vt:lpstr>
      <vt:lpstr>BU 2016</vt:lpstr>
      <vt:lpstr>'AAR 2016'!Print_Area</vt:lpstr>
      <vt:lpstr>'AAR 2017'!Print_Area</vt:lpstr>
      <vt:lpstr>'AAR 2018'!Print_Area</vt:lpstr>
      <vt:lpstr>'AAR 2019'!Print_Area</vt:lpstr>
      <vt:lpstr>'AAR 2020'!Print_Area</vt:lpstr>
      <vt:lpstr>'AAR 2021'!Print_Area</vt:lpstr>
      <vt:lpstr>'AAR 2022'!Print_Area</vt:lpstr>
      <vt:lpstr>'AAR 2023'!Print_Area</vt:lpstr>
      <vt:lpstr>'AAR 2024'!Print_Area</vt:lpstr>
      <vt:lpstr>'AAR 2025'!Print_Area</vt:lpstr>
      <vt:lpstr>'AAR 2026'!Print_Area</vt:lpstr>
      <vt:lpstr>'AAR Commodity Grouping - En'!Print_Area</vt:lpstr>
      <vt:lpstr>'BU 2016'!Print_Area</vt:lpstr>
      <vt:lpstr>'BU 2017'!Print_Area</vt:lpstr>
      <vt:lpstr>'BU 2021'!Print_Area</vt:lpstr>
      <vt:lpstr>'BU 2022'!Print_Area</vt:lpstr>
      <vt:lpstr>'BU 2023'!Print_Area</vt:lpstr>
      <vt:lpstr>'BU 2024'!Print_Area</vt:lpstr>
      <vt:lpstr>'BU 2025'!Print_Area</vt:lpstr>
      <vt:lpstr>'BU 2026'!Print_Area</vt:lpstr>
      <vt:lpstr>'Groupe de produits AAR - Fr'!Print_Area</vt:lpstr>
      <vt:lpstr>'AAR 2016'!Print_Titles</vt:lpstr>
      <vt:lpstr>'AAR 2017'!Print_Titles</vt:lpstr>
      <vt:lpstr>'AAR 2018'!Print_Titles</vt:lpstr>
      <vt:lpstr>'AAR 2019'!Print_Titles</vt:lpstr>
      <vt:lpstr>'AAR 2020'!Print_Titles</vt:lpstr>
      <vt:lpstr>'AAR 2021'!Print_Titles</vt:lpstr>
      <vt:lpstr>'AAR 2022'!Print_Titles</vt:lpstr>
      <vt:lpstr>'AAR 2023'!Print_Titles</vt:lpstr>
      <vt:lpstr>'AAR 2024'!Print_Titles</vt:lpstr>
      <vt:lpstr>'AAR 2025'!Print_Titles</vt:lpstr>
      <vt:lpstr>'AAR 2026'!Print_Titles</vt:lpstr>
      <vt:lpstr>'BU 2016'!Print_Titles</vt:lpstr>
      <vt:lpstr>'BU 2017'!Print_Titles</vt:lpstr>
      <vt:lpstr>'BU 2021'!Print_Titles</vt:lpstr>
      <vt:lpstr>'BU 2022'!Print_Titles</vt:lpstr>
      <vt:lpstr>'BU 2023'!Print_Titles</vt:lpstr>
      <vt:lpstr>'BU 2024'!Print_Titles</vt:lpstr>
      <vt:lpstr>'BU 2025'!Print_Titles</vt:lpstr>
      <vt:lpstr>'BU 2026'!Print_Titles</vt:lpstr>
    </vt:vector>
  </TitlesOfParts>
  <Manager/>
  <Company>CN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Rocco Fiore</dc:creator>
  <cp:keywords/>
  <dc:description/>
  <cp:lastModifiedBy>James Grant</cp:lastModifiedBy>
  <cp:revision/>
  <dcterms:created xsi:type="dcterms:W3CDTF">2009-04-01T16:24:13Z</dcterms:created>
  <dcterms:modified xsi:type="dcterms:W3CDTF">2026-07-06T17:23:26Z</dcterms:modified>
  <cp:category/>
  <cp:contentStatus/>
</cp:coreProperties>
</file>